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Reports'!$A$12:$A$26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Reports'!$A$2:$A$8</definedName>
  </definedNames>
  <calcPr calcId="145621"/>
</workbook>
</file>

<file path=xl/calcChain.xml><?xml version="1.0" encoding="utf-8"?>
<calcChain xmlns="http://schemas.openxmlformats.org/spreadsheetml/2006/main">
  <c r="B4" i="9" l="1"/>
  <c r="B3" i="9"/>
  <c r="B8" i="9"/>
  <c r="B7" i="9"/>
  <c r="B6" i="9"/>
  <c r="B5" i="9"/>
  <c r="B25" i="9" l="1"/>
  <c r="E3" i="6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O60" i="7"/>
  <c r="R60" i="7" s="1"/>
  <c r="O44" i="7"/>
  <c r="R44" i="7" s="1"/>
  <c r="U44" i="7" s="1"/>
  <c r="G44" i="7"/>
  <c r="X44" i="7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R19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R15" i="7" s="1"/>
  <c r="U15" i="7" s="1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R52" i="7" s="1"/>
  <c r="U52" i="7" s="1"/>
  <c r="G52" i="7" s="1"/>
  <c r="O50" i="7"/>
  <c r="R50" i="7" s="1"/>
  <c r="AA44" i="7"/>
  <c r="O48" i="7"/>
  <c r="R48" i="7" s="1"/>
  <c r="O46" i="7"/>
  <c r="O42" i="7"/>
  <c r="R41" i="7"/>
  <c r="O40" i="7"/>
  <c r="O38" i="7"/>
  <c r="O36" i="7"/>
  <c r="O34" i="7"/>
  <c r="O32" i="7"/>
  <c r="R31" i="7"/>
  <c r="O30" i="7"/>
  <c r="O28" i="7"/>
  <c r="R28" i="7" s="1"/>
  <c r="U28" i="7" s="1"/>
  <c r="G28" i="7" s="1"/>
  <c r="O26" i="7"/>
  <c r="O24" i="7"/>
  <c r="O7" i="7"/>
  <c r="R7" i="7" s="1"/>
  <c r="U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46" i="7"/>
  <c r="U46" i="7" s="1"/>
  <c r="G46" i="7" s="1"/>
  <c r="R25" i="7"/>
  <c r="R24" i="7"/>
  <c r="R18" i="7"/>
  <c r="U18" i="7" s="1"/>
  <c r="G18" i="7" s="1"/>
  <c r="O6" i="7"/>
  <c r="R21" i="7"/>
  <c r="O20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7" i="7" l="1"/>
  <c r="R39" i="7"/>
  <c r="U39" i="7" s="1"/>
  <c r="R43" i="7"/>
  <c r="U53" i="7"/>
  <c r="R13" i="7"/>
  <c r="U13" i="7" s="1"/>
  <c r="U31" i="7"/>
  <c r="G31" i="7" s="1"/>
  <c r="G53" i="7"/>
  <c r="X53" i="7"/>
  <c r="U60" i="7"/>
  <c r="R59" i="7"/>
  <c r="U59" i="7" s="1"/>
  <c r="R5" i="7"/>
  <c r="U5" i="7" s="1"/>
  <c r="R27" i="7"/>
  <c r="U27" i="7" s="1"/>
  <c r="R35" i="7"/>
  <c r="R45" i="7"/>
  <c r="U45" i="7" s="1"/>
  <c r="R57" i="7"/>
  <c r="U14" i="7"/>
  <c r="U35" i="7"/>
  <c r="AD44" i="7"/>
  <c r="AG44" i="7" s="1"/>
  <c r="G15" i="7"/>
  <c r="X15" i="7"/>
  <c r="AA15" i="7" s="1"/>
  <c r="AD15" i="7" s="1"/>
  <c r="AG15" i="7" s="1"/>
  <c r="G45" i="7"/>
  <c r="X45" i="7"/>
  <c r="G35" i="7"/>
  <c r="U25" i="7"/>
  <c r="G25" i="7" s="1"/>
  <c r="R11" i="7"/>
  <c r="U11" i="7" s="1"/>
  <c r="G11" i="7" s="1"/>
  <c r="U12" i="7"/>
  <c r="X8" i="7"/>
  <c r="U10" i="7"/>
  <c r="R20" i="7"/>
  <c r="X22" i="7"/>
  <c r="AA22" i="7" s="1"/>
  <c r="R26" i="7"/>
  <c r="U29" i="7"/>
  <c r="R34" i="7"/>
  <c r="R36" i="7"/>
  <c r="R42" i="7"/>
  <c r="R49" i="7"/>
  <c r="X46" i="7"/>
  <c r="U17" i="7"/>
  <c r="U21" i="7"/>
  <c r="G21" i="7" s="1"/>
  <c r="U37" i="7"/>
  <c r="U41" i="7"/>
  <c r="U47" i="7"/>
  <c r="R58" i="7"/>
  <c r="G60" i="7"/>
  <c r="X60" i="7"/>
  <c r="AA60" i="7" s="1"/>
  <c r="X10" i="7"/>
  <c r="U9" i="7"/>
  <c r="X9" i="7" s="1"/>
  <c r="AA9" i="7" s="1"/>
  <c r="R32" i="7"/>
  <c r="R38" i="7"/>
  <c r="U48" i="7"/>
  <c r="U50" i="7"/>
  <c r="X51" i="7"/>
  <c r="U54" i="7"/>
  <c r="X55" i="7"/>
  <c r="X7" i="7"/>
  <c r="AA7" i="7" s="1"/>
  <c r="AA8" i="7"/>
  <c r="U20" i="7"/>
  <c r="G20" i="7" s="1"/>
  <c r="R6" i="7"/>
  <c r="R16" i="7"/>
  <c r="X18" i="7"/>
  <c r="U24" i="7"/>
  <c r="X28" i="7"/>
  <c r="R30" i="7"/>
  <c r="U33" i="7"/>
  <c r="R40" i="7"/>
  <c r="AA46" i="7"/>
  <c r="X48" i="7"/>
  <c r="X52" i="7"/>
  <c r="AA53" i="7"/>
  <c r="X56" i="7"/>
  <c r="U19" i="7"/>
  <c r="U23" i="7"/>
  <c r="R61" i="7"/>
  <c r="U61" i="7" s="1"/>
  <c r="X61" i="7" s="1"/>
  <c r="AA61" i="7" s="1"/>
  <c r="X25" i="7" l="1"/>
  <c r="X31" i="7"/>
  <c r="AA31" i="7" s="1"/>
  <c r="U43" i="7"/>
  <c r="AA10" i="7"/>
  <c r="AD10" i="7" s="1"/>
  <c r="AA35" i="7"/>
  <c r="AD35" i="7" s="1"/>
  <c r="G59" i="7"/>
  <c r="X59" i="7"/>
  <c r="X35" i="7"/>
  <c r="U57" i="7"/>
  <c r="AA45" i="7"/>
  <c r="AD45" i="7" s="1"/>
  <c r="X5" i="7"/>
  <c r="AA5" i="7" s="1"/>
  <c r="X21" i="7"/>
  <c r="AA21" i="7" s="1"/>
  <c r="X13" i="7"/>
  <c r="AA13" i="7" s="1"/>
  <c r="AA59" i="7"/>
  <c r="X11" i="7"/>
  <c r="AA11" i="7" s="1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U6" i="7"/>
  <c r="AD28" i="7"/>
  <c r="AG28" i="7" s="1"/>
  <c r="X20" i="7"/>
  <c r="AA20" i="7"/>
  <c r="AA55" i="7"/>
  <c r="AD55" i="7" s="1"/>
  <c r="AA51" i="7"/>
  <c r="AD51" i="7" s="1"/>
  <c r="AA56" i="7"/>
  <c r="AA52" i="7"/>
  <c r="X32" i="7"/>
  <c r="X17" i="7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2" i="7"/>
  <c r="X12" i="7"/>
  <c r="AD22" i="7"/>
  <c r="AA23" i="7"/>
  <c r="X58" i="7"/>
  <c r="X54" i="7"/>
  <c r="X50" i="7"/>
  <c r="AD53" i="7"/>
  <c r="AA18" i="7"/>
  <c r="AD18" i="7" s="1"/>
  <c r="U16" i="7"/>
  <c r="G16" i="7" s="1"/>
  <c r="AA25" i="7"/>
  <c r="AJ15" i="7"/>
  <c r="AD61" i="7"/>
  <c r="X43" i="7" l="1"/>
  <c r="AD31" i="7"/>
  <c r="AG31" i="7" s="1"/>
  <c r="AD21" i="7"/>
  <c r="AG10" i="7"/>
  <c r="AJ10" i="7" s="1"/>
  <c r="AA43" i="7"/>
  <c r="AD43" i="7" s="1"/>
  <c r="AD5" i="7"/>
  <c r="AG5" i="7" s="1"/>
  <c r="AJ45" i="7"/>
  <c r="AM45" i="7" s="1"/>
  <c r="AG45" i="7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X40" i="7"/>
  <c r="AA40" i="7" s="1"/>
  <c r="AD40" i="7" s="1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G42" i="7"/>
  <c r="AA42" i="7"/>
  <c r="AD42" i="7" s="1"/>
  <c r="G32" i="7"/>
  <c r="AA32" i="7"/>
  <c r="AD32" i="7" s="1"/>
  <c r="AD23" i="7"/>
  <c r="AG23" i="7" s="1"/>
  <c r="X49" i="7"/>
  <c r="AA58" i="7"/>
  <c r="AG25" i="7"/>
  <c r="AJ25" i="7" s="1"/>
  <c r="AM10" i="7"/>
  <c r="AP10" i="7" s="1"/>
  <c r="AD11" i="7"/>
  <c r="AA50" i="7"/>
  <c r="AA54" i="7"/>
  <c r="AM15" i="7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G43" i="7" l="1"/>
  <c r="AM43" i="7" s="1"/>
  <c r="AJ43" i="7"/>
  <c r="AM13" i="7"/>
  <c r="AJ5" i="7"/>
  <c r="AM5" i="7" s="1"/>
  <c r="AG32" i="7"/>
  <c r="AA57" i="7"/>
  <c r="AD57" i="7" s="1"/>
  <c r="AS10" i="7"/>
  <c r="AV10" i="7" s="1"/>
  <c r="AY10" i="7" s="1"/>
  <c r="AJ32" i="7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P7" i="7"/>
  <c r="AS7" i="7" s="1"/>
  <c r="AV7" i="7" s="1"/>
  <c r="AY7" i="7" s="1"/>
  <c r="CE7" i="7" s="1"/>
  <c r="AD30" i="7"/>
  <c r="AM32" i="7"/>
  <c r="AP32" i="7"/>
  <c r="AS32" i="7" s="1"/>
  <c r="AV32" i="7" s="1"/>
  <c r="AY32" i="7" s="1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1" i="7"/>
  <c r="AP43" i="7" l="1"/>
  <c r="AS43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V43" i="7" l="1"/>
  <c r="AY43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42" i="7" l="1"/>
  <c r="BE42" i="7" s="1"/>
  <c r="BH42" i="7" s="1"/>
  <c r="BK42" i="7" s="1"/>
  <c r="BN42" i="7" s="1"/>
  <c r="BQ42" i="7" s="1"/>
  <c r="BT42" i="7" s="1"/>
  <c r="BW42" i="7" s="1"/>
  <c r="BZ42" i="7" s="1"/>
  <c r="CC42" i="7" s="1"/>
  <c r="CE43" i="7"/>
  <c r="CE4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2" i="9"/>
  <c r="B9" i="9" l="1"/>
  <c r="C2" i="9" s="1"/>
  <c r="B2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8" i="9" l="1"/>
  <c r="C4" i="9"/>
  <c r="C6" i="9"/>
  <c r="C5" i="9"/>
  <c r="C3" i="9"/>
  <c r="C7" i="9"/>
  <c r="C11" i="9"/>
  <c r="C25" i="9"/>
  <c r="C21" i="9"/>
  <c r="C14" i="9"/>
  <c r="C24" i="9"/>
  <c r="C20" i="9"/>
  <c r="C23" i="9"/>
  <c r="C17" i="9"/>
  <c r="C22" i="9"/>
  <c r="C18" i="9"/>
  <c r="C15" i="9"/>
  <c r="C19" i="9"/>
  <c r="C13" i="9"/>
  <c r="C12" i="9"/>
  <c r="C16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6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1" i="9" l="1"/>
  <c r="B30" i="9"/>
  <c r="B32" i="9"/>
  <c r="B33" i="9"/>
  <c r="B29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4" i="9" l="1"/>
  <c r="C29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30" i="9" l="1"/>
  <c r="C31" i="9"/>
  <c r="C33" i="9"/>
  <c r="C32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4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5" i="8"/>
  <c r="R29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9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<sst xmlns="http://schemas.openxmlformats.org/spreadsheetml/2006/main" count="326" uniqueCount="150">
  <si>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</si>
  <si>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</si>
  <si>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</si>
  <si>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</si>
  <si>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</si>
  <si>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</si>
  <si>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</si>
  <si>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</si>
  <si>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</si>
  <si>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</si>
  <si>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</si>
  <si>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</si>
  <si>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</si>
  <si>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</si>
  <si>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</si>
  <si>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</si>
  <si>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</si>
  <si>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</si>
  <si>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</si>
  <si>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</si>
  <si>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</si>
  <si>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</si>
  <si>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</si>
  <si>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</si>
  <si>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</si>
  <si>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</si>
  <si>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</si>
  <si>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</si>
  <si>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</si>
  <si>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</si>
  <si>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</si>
  <si>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</si>
  <si>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</si>
  <si>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</si>
  <si>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</si>
  <si>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</si>
  <si>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</si>
  <si>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</si>
  <si>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</si>
  <si>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</si>
  <si>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</si>
  <si>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</si>
  <si>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</si>
  <si>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</si>
  <si>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</si>
  <si>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</si>
  <si>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</si>
  <si>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</si>
  <si>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</si>
  <si>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</si>
  <si>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</si>
  <si>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</si>
  <si>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</si>
  <si>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</si>
  <si>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</si>
  <si>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</si>
  <si>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</si>
  <si>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</si>
  <si>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</si>
  <si>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</si>
  <si>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</si>
  <si>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</si>
  <si>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</si>
  <si>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</si>
  <si>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</si>
  <si>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</si>
  <si>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</si>
  <si>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</si>
  <si>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</si>
  <si>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</si>
  <si>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</si>
  <si>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</si>
  <si>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</si>
  <si>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</si>
  <si>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</si>
  <si>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</si>
  <si>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</si>
  <si>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</si>
  <si>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</si>
  <si>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</si>
  <si>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</si>
  <si>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</si>
  <si>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</si>
  <si>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</si>
  <si>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</si>
  <si>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</si>
  <si>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</si>
  <si>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</si>
  <si>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</si>
  <si>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</si>
  <si>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</si>
  <si>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</si>
  <si>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</si>
  <si>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</si>
  <si>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</si>
  <si>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</si>
  <si>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</si>
  <si>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</si>
  <si>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Worktype</t>
  </si>
  <si>
    <t>Deliverable Area</t>
  </si>
  <si>
    <t>Work Type Breakdown</t>
  </si>
  <si>
    <t>Feature</t>
  </si>
  <si>
    <t>Functional Breakdown</t>
  </si>
  <si>
    <t>Data Model</t>
  </si>
  <si>
    <t>Integration Model</t>
  </si>
  <si>
    <t>System Frameworks</t>
  </si>
  <si>
    <t>Data Conversions</t>
  </si>
  <si>
    <t>Security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</si>
  <si>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</si>
  <si>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</si>
  <si>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</si>
  <si>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</si>
  <si>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</si>
  <si>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</si>
  <si>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</si>
  <si>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</si>
  <si>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</si>
  <si>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</si>
  <si>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</si>
  <si>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</si>
  <si>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</si>
  <si>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</si>
  <si>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</si>
  <si>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</si>
  <si>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</si>
  <si>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</si>
  <si>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Jesus Emmanuel Dayo</t>
  </si>
  <si>
    <t>Jed</t>
  </si>
  <si>
    <t>Others</t>
  </si>
  <si>
    <t>Integration</t>
  </si>
  <si>
    <t>Service</t>
  </si>
  <si>
    <t>Unit Test</t>
  </si>
  <si>
    <t>Setup Configuration</t>
  </si>
  <si>
    <t>Adriel Cruz</t>
  </si>
  <si>
    <t>Adriel</t>
  </si>
  <si>
    <t>Setup Scanner for WCC to test</t>
  </si>
  <si>
    <t>Create navigation view</t>
  </si>
  <si>
    <t>Completed</t>
  </si>
  <si>
    <t>Create movement view using NG-Grid</t>
  </si>
  <si>
    <t>Add angular shortcut key function</t>
  </si>
  <si>
    <t>Create switch mode to read only , with auto refresh 20 seconds</t>
  </si>
  <si>
    <t>Web Service retrieve movement details (random data)</t>
  </si>
  <si>
    <t>Web Service search by plus minus date</t>
  </si>
  <si>
    <t>UI search by plus minus date</t>
  </si>
  <si>
    <t>Fix pagination, for few records should not display other page numbers</t>
  </si>
  <si>
    <t>Integrate view to web service</t>
  </si>
  <si>
    <t>Create Assign HU page</t>
  </si>
  <si>
    <t>Request and Deploy poc to OCNT vmware (inform Chan Chin We)</t>
  </si>
  <si>
    <t>IE9 and above</t>
  </si>
  <si>
    <t>Setup database for POC, actual data in database will be displayed,
 best if we can get a dump of OCNT UAT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</si>
</sst>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6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1" fontId="6" fillId="0" borderId="0" xfId="45" applyNumberFormat="1" applyFont="1" applyAlignment="1">
      <alignment horizontal="center"/>
    </xf>
    <xf numFmtId="1" fontId="45" fillId="0" borderId="0" xfId="0" applyNumberFormat="1" applyFont="1" applyAlignment="1">
      <alignment horizontal="center"/>
    </xf>
    <xf numFmtId="49" fontId="27" fillId="0" borderId="0" xfId="0" applyNumberFormat="1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49" fontId="21" fillId="0" borderId="11" xfId="0" applyNumberFormat="1" applyFont="1" applyFill="1" applyBorder="1" applyAlignment="1">
      <alignment horizontal="left" wrapText="1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57"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45792"/>
        <c:axId val="93009408"/>
      </c:areaChart>
      <c:catAx>
        <c:axId val="9294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300940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30094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294579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37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58944"/>
        <c:axId val="9359398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39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58944"/>
        <c:axId val="93593984"/>
      </c:lineChart>
      <c:catAx>
        <c:axId val="9305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359398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35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305894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0</c:formatCode>
                <c:ptCount val="1"/>
                <c:pt idx="0">
                  <c:v>7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Reports'!$A$4</c:f>
              <c:strCache>
                <c:ptCount val="1"/>
                <c:pt idx="0">
                  <c:v>Setup Configuration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Reports'!$A$5</c:f>
              <c:strCache>
                <c:ptCount val="1"/>
                <c:pt idx="0">
                  <c:v>Service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730688"/>
        <c:axId val="93732224"/>
      </c:barChart>
      <c:catAx>
        <c:axId val="9373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93732224"/>
        <c:crosses val="autoZero"/>
        <c:auto val="1"/>
        <c:lblAlgn val="ctr"/>
        <c:lblOffset val="100"/>
        <c:noMultiLvlLbl val="0"/>
      </c:catAx>
      <c:valAx>
        <c:axId val="937322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3730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Reports'!$A$12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Reports'!$A$13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Reports'!$A$14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Reports'!$A$15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Reports'!$A$16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Reports'!$A$17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Reports'!$A$18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Reports'!$A$19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Reports'!$A$20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Reports'!$A$21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Reports'!$A$22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Reports'!$A$23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Reports'!$A$24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Reports'!$A$25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Reports'!$A$26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198784"/>
        <c:axId val="93786880"/>
      </c:barChart>
      <c:catAx>
        <c:axId val="94198784"/>
        <c:scaling>
          <c:orientation val="minMax"/>
        </c:scaling>
        <c:delete val="0"/>
        <c:axPos val="b"/>
        <c:majorTickMark val="out"/>
        <c:minorTickMark val="none"/>
        <c:tickLblPos val="nextTo"/>
        <c:crossAx val="93786880"/>
        <c:crosses val="autoZero"/>
        <c:auto val="1"/>
        <c:lblAlgn val="ctr"/>
        <c:lblOffset val="100"/>
        <c:noMultiLvlLbl val="0"/>
      </c:catAx>
      <c:valAx>
        <c:axId val="937868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4198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Reports'!$A$30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Reports'!$A$31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Reports'!$A$32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Reports'!$A$33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Reports'!$A$34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822336"/>
        <c:axId val="93828224"/>
      </c:barChart>
      <c:catAx>
        <c:axId val="9382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93828224"/>
        <c:crosses val="autoZero"/>
        <c:auto val="1"/>
        <c:lblAlgn val="ctr"/>
        <c:lblOffset val="100"/>
        <c:noMultiLvlLbl val="0"/>
      </c:catAx>
      <c:valAx>
        <c:axId val="938282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3822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18</xdr:row>
      <xdr:rowOff>0</xdr:rowOff>
    </xdr:from>
    <xdr:to>
      <xdr:col>11</xdr:col>
      <xdr:colOff>333375</xdr:colOff>
      <xdr:row>32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0" sqref="E10"/>
    </sheetView>
  </sheetViews>
  <sheetFormatPr defaultRowHeight="12.75" outlineLevelCol="1" x14ac:dyDescent="0.2"/>
  <cols>
    <col min="1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10" style="6" customWidth="1"/>
    <col min="8" max="8" width="5.28515625" style="6" bestFit="1" customWidth="1"/>
    <col min="9" max="9" width="4.28515625" style="6" customWidth="1"/>
    <col min="10" max="11" width="3.28515625" style="158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 ca="1">SprintStart</f>
        <v>42111</v>
      </c>
      <c r="H1" s="1"/>
      <c r="I1" s="1"/>
      <c r="J1" s="189">
        <f ca="1">SprintStart</f>
        <v>42111</v>
      </c>
      <c r="K1" s="189"/>
      <c r="L1" s="189"/>
      <c r="M1" s="189">
        <f ca="1">IF(AND(SkipWeekends, WEEKDAY(J1)=6),J1+3, J1+1)</f>
        <v>42112</v>
      </c>
      <c r="N1" s="189"/>
      <c r="O1" s="189"/>
      <c r="P1" s="189">
        <f ca="1">IF(AND(SkipWeekends, WEEKDAY(M1)=6),M1+3, M1+1)</f>
        <v>42113</v>
      </c>
      <c r="Q1" s="189"/>
      <c r="R1" s="189"/>
      <c r="S1" s="189">
        <f ca="1">IF(AND(SkipWeekends, WEEKDAY(P1)=6),P1+3, P1+1)</f>
        <v>42114</v>
      </c>
      <c r="T1" s="189"/>
      <c r="U1" s="189"/>
      <c r="V1" s="189">
        <f ca="1">IF(AND(SkipWeekends, WEEKDAY(S1)=6),S1+3, S1+1)</f>
        <v>42115</v>
      </c>
      <c r="W1" s="189"/>
      <c r="X1" s="189"/>
      <c r="Y1" s="189">
        <f ca="1">IF(AND(SkipWeekends, WEEKDAY(V1)=6),V1+3, V1+1)</f>
        <v>42116</v>
      </c>
      <c r="Z1" s="189"/>
      <c r="AA1" s="189"/>
      <c r="AB1" s="189">
        <f ca="1">IF(AND(SkipWeekends, WEEKDAY(Y1)=6),Y1+3, Y1+1)</f>
        <v>42117</v>
      </c>
      <c r="AC1" s="189"/>
      <c r="AD1" s="189"/>
      <c r="AE1" s="189">
        <f ca="1">IF(AND(SkipWeekends, WEEKDAY(AB1)=6),AB1+3, AB1+1)</f>
        <v>42118</v>
      </c>
      <c r="AF1" s="189"/>
      <c r="AG1" s="189"/>
      <c r="AH1" s="189">
        <f ca="1">IF(AND(SkipWeekends, WEEKDAY(AE1)=6),AE1+3, AE1+1)</f>
        <v>42119</v>
      </c>
      <c r="AI1" s="189"/>
      <c r="AJ1" s="189"/>
      <c r="AK1" s="189">
        <f ca="1">IF(AND(SkipWeekends, WEEKDAY(AH1)=6),AH1+3, AH1+1)</f>
        <v>42120</v>
      </c>
      <c r="AL1" s="189"/>
      <c r="AM1" s="189"/>
      <c r="AN1" s="189">
        <f ca="1">IF(AND(SkipWeekends, WEEKDAY(AK1)=6),AK1+3, AK1+1)</f>
        <v>42121</v>
      </c>
      <c r="AO1" s="189"/>
      <c r="AP1" s="189"/>
      <c r="AQ1" s="189">
        <f ca="1">IF(AND(SkipWeekends, WEEKDAY(AN1)=6),AN1+3, AN1+1)</f>
        <v>42122</v>
      </c>
      <c r="AR1" s="189"/>
      <c r="AS1" s="189"/>
      <c r="AT1" s="189">
        <f ca="1">IF(AND(SkipWeekends, WEEKDAY(AQ1)=6),AQ1+3, AQ1+1)</f>
        <v>42123</v>
      </c>
      <c r="AU1" s="189"/>
      <c r="AV1" s="189"/>
      <c r="AW1" s="189">
        <f ca="1">IF(AND(SkipWeekends, WEEKDAY(AT1)=6),AT1+3, AT1+1)</f>
        <v>42124</v>
      </c>
      <c r="AX1" s="189"/>
      <c r="AY1" s="189"/>
      <c r="AZ1" s="189" t="e">
        <f>IF(AND(SkipWeekends, WEEKDAY(#REF!)=6),#REF!+3,#REF!+ 1)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189" t="e">
        <f>IF(AND(SkipWeekends, WEEKDAY(BF1)=6),BF1+3, BF1+1)</f>
        <v>#REF!</v>
      </c>
      <c r="BJ1" s="189"/>
      <c r="BK1" s="189"/>
      <c r="BL1" s="189" t="e">
        <f>IF(AND(SkipWeekends, WEEKDAY(BI1)=6),BI1+3, BI1+1)</f>
        <v>#REF!</v>
      </c>
      <c r="BM1" s="189"/>
      <c r="BN1" s="189"/>
      <c r="BO1" s="189" t="e">
        <f>IF(AND(SkipWeekends, WEEKDAY(BL1)=6),BL1+3, BL1+1)</f>
        <v>#REF!</v>
      </c>
      <c r="BP1" s="189"/>
      <c r="BQ1" s="189"/>
      <c r="BR1" s="189" t="e">
        <f>IF(AND(SkipWeekends, WEEKDAY(BO1)=6),BO1+3, BO1+1)</f>
        <v>#REF!</v>
      </c>
      <c r="BS1" s="189"/>
      <c r="BT1" s="189"/>
      <c r="BU1" s="189" t="e">
        <f>IF(AND(SkipWeekends, WEEKDAY(BR1)=6),BR1+3, BR1+1)</f>
        <v>#REF!</v>
      </c>
      <c r="BV1" s="189"/>
      <c r="BW1" s="189"/>
      <c r="BX1" s="189" t="e">
        <f>IF(AND(SkipWeekends, WEEKDAY(BU1)=6),BU1+3, BU1+1)</f>
        <v>#REF!</v>
      </c>
      <c r="BY1" s="189"/>
      <c r="BZ1" s="189"/>
      <c r="CA1" s="189" t="e">
        <f>IF(AND(SkipWeekends, WEEKDAY(BX1)=6),BX1+3, BX1+1)</f>
        <v>#REF!</v>
      </c>
      <c r="CB1" s="189"/>
      <c r="CC1" s="18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1"/>
      <c r="K2" s="151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98</v>
      </c>
      <c r="B3" s="11" t="s">
        <v>99</v>
      </c>
      <c r="C3" s="11" t="s">
        <v>82</v>
      </c>
      <c r="D3" s="11" t="s">
        <v>83</v>
      </c>
      <c r="E3" s="1" t="s">
        <v>84</v>
      </c>
      <c r="F3" s="1" t="s">
        <v>92</v>
      </c>
      <c r="G3" s="1" t="s">
        <v>0</v>
      </c>
      <c r="H3" s="12" t="s">
        <v>1</v>
      </c>
      <c r="I3" s="12" t="s">
        <v>85</v>
      </c>
      <c r="J3" s="152" t="s">
        <v>12</v>
      </c>
      <c r="K3" s="153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132</v>
      </c>
      <c r="B4" s="16" t="s">
        <v>113</v>
      </c>
      <c r="C4" s="16"/>
      <c r="D4" s="17"/>
      <c r="E4" s="177" t="s">
        <v>135</v>
      </c>
      <c r="F4" s="18" t="s">
        <v>127</v>
      </c>
      <c r="G4" s="19" t="s">
        <v>122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ht="11.25" customHeight="1" x14ac:dyDescent="0.2">
      <c r="A5" s="16" t="s">
        <v>101</v>
      </c>
      <c r="B5" s="16" t="s">
        <v>108</v>
      </c>
      <c r="C5" s="16"/>
      <c r="D5" s="17"/>
      <c r="E5" s="177" t="s">
        <v>136</v>
      </c>
      <c r="F5" s="18" t="s">
        <v>127</v>
      </c>
      <c r="G5" s="187" t="s">
        <v>137</v>
      </c>
      <c r="H5" s="20">
        <v>1</v>
      </c>
      <c r="I5" s="21">
        <v>3</v>
      </c>
      <c r="J5" s="22">
        <v>1</v>
      </c>
      <c r="K5" s="22">
        <f t="shared" ref="K5:K60" si="23">MAX(I5-J5, 0)</f>
        <v>2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24">MAX(K5-M5,0)</f>
        <v>0</v>
      </c>
      <c r="O5" s="23" t="str">
        <f>IF(SUMPRODUCT($J$64:N$64,$J5:N5)&lt;0.5, "Pending", IF(N5&lt;0.5, "Complete", "In Progress"))</f>
        <v>Complete</v>
      </c>
      <c r="P5" s="22">
        <v>0</v>
      </c>
      <c r="Q5" s="22">
        <f t="shared" ref="Q5:Q60" si="25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26">MAX(Q5-S5,0)</f>
        <v>0</v>
      </c>
      <c r="U5" s="23" t="str">
        <f>IF(SUMPRODUCT($J$64:T$64,$J5:T5)&lt;0.5, "Pending", IF(T5&lt;0.5, "Complete", "In Progress"))</f>
        <v>Complete</v>
      </c>
      <c r="V5" s="22">
        <v>0</v>
      </c>
      <c r="W5" s="22">
        <f t="shared" ref="W5:W60" si="27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8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29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30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1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2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3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4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5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6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7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8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9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0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1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2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3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4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5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3</v>
      </c>
    </row>
    <row r="6" spans="1:83" x14ac:dyDescent="0.2">
      <c r="A6" s="16" t="s">
        <v>101</v>
      </c>
      <c r="B6" s="16" t="s">
        <v>108</v>
      </c>
      <c r="C6" s="16"/>
      <c r="D6" s="17"/>
      <c r="E6" s="177" t="s">
        <v>138</v>
      </c>
      <c r="F6" s="18" t="s">
        <v>127</v>
      </c>
      <c r="G6" s="187" t="s">
        <v>137</v>
      </c>
      <c r="H6" s="20">
        <v>1</v>
      </c>
      <c r="I6" s="21">
        <v>8</v>
      </c>
      <c r="J6" s="22">
        <v>0</v>
      </c>
      <c r="K6" s="22">
        <f t="shared" si="23"/>
        <v>8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4"/>
        <v>8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5"/>
        <v>8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6"/>
        <v>8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7"/>
        <v>8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8"/>
        <v>8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29"/>
        <v>8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0"/>
        <v>8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1"/>
        <v>8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2"/>
        <v>8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3"/>
        <v>8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4"/>
        <v>8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5"/>
        <v>8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6"/>
        <v>8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 t="s">
        <v>130</v>
      </c>
      <c r="B7" s="16" t="s">
        <v>104</v>
      </c>
      <c r="C7" s="16"/>
      <c r="D7" s="17"/>
      <c r="E7" s="177" t="s">
        <v>141</v>
      </c>
      <c r="F7" s="18" t="s">
        <v>134</v>
      </c>
      <c r="G7" s="187" t="s">
        <v>137</v>
      </c>
      <c r="H7" s="20">
        <v>1</v>
      </c>
      <c r="I7" s="21">
        <v>4</v>
      </c>
      <c r="J7" s="22">
        <v>0</v>
      </c>
      <c r="K7" s="22">
        <f t="shared" si="23"/>
        <v>4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4"/>
        <v>4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5"/>
        <v>4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6"/>
        <v>4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7"/>
        <v>4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8"/>
        <v>4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29"/>
        <v>4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0"/>
        <v>4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1"/>
        <v>4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2"/>
        <v>4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3"/>
        <v>4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4"/>
        <v>4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5"/>
        <v>4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6"/>
        <v>4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 t="s">
        <v>101</v>
      </c>
      <c r="B8" s="16" t="s">
        <v>108</v>
      </c>
      <c r="C8" s="16"/>
      <c r="D8" s="17"/>
      <c r="E8" s="177" t="s">
        <v>139</v>
      </c>
      <c r="F8" s="18" t="s">
        <v>127</v>
      </c>
      <c r="G8" s="187" t="s">
        <v>137</v>
      </c>
      <c r="H8" s="20">
        <v>1</v>
      </c>
      <c r="I8" s="21">
        <v>2</v>
      </c>
      <c r="J8" s="22">
        <v>0</v>
      </c>
      <c r="K8" s="22">
        <f t="shared" si="23"/>
        <v>2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4"/>
        <v>2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5"/>
        <v>2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6"/>
        <v>2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7"/>
        <v>2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8"/>
        <v>2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29"/>
        <v>2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0"/>
        <v>2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1"/>
        <v>2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2"/>
        <v>2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3"/>
        <v>2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4"/>
        <v>2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5"/>
        <v>2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6"/>
        <v>2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 t="s">
        <v>101</v>
      </c>
      <c r="B9" s="16" t="s">
        <v>108</v>
      </c>
      <c r="C9" s="16"/>
      <c r="D9" s="17"/>
      <c r="E9" s="177" t="s">
        <v>140</v>
      </c>
      <c r="F9" s="18" t="s">
        <v>127</v>
      </c>
      <c r="G9" s="187" t="s">
        <v>137</v>
      </c>
      <c r="H9" s="20">
        <v>1</v>
      </c>
      <c r="I9" s="21">
        <v>2</v>
      </c>
      <c r="J9" s="22">
        <v>0</v>
      </c>
      <c r="K9" s="22">
        <f t="shared" si="23"/>
        <v>2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4"/>
        <v>2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5"/>
        <v>2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6"/>
        <v>2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7"/>
        <v>2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8"/>
        <v>2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9"/>
        <v>2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0"/>
        <v>2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1"/>
        <v>2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2"/>
        <v>2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3"/>
        <v>2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4"/>
        <v>2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5"/>
        <v>2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6"/>
        <v>2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 t="s">
        <v>130</v>
      </c>
      <c r="B10" s="16" t="s">
        <v>104</v>
      </c>
      <c r="C10" s="16"/>
      <c r="D10" s="17"/>
      <c r="E10" s="177" t="s">
        <v>142</v>
      </c>
      <c r="F10" s="18" t="s">
        <v>134</v>
      </c>
      <c r="G10" s="187" t="s">
        <v>137</v>
      </c>
      <c r="H10" s="20">
        <v>1</v>
      </c>
      <c r="I10" s="21">
        <v>2</v>
      </c>
      <c r="J10" s="22">
        <v>0</v>
      </c>
      <c r="K10" s="22">
        <f t="shared" si="23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4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5"/>
        <v>2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6"/>
        <v>2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7"/>
        <v>2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8"/>
        <v>2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9"/>
        <v>2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0"/>
        <v>2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1"/>
        <v>2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2"/>
        <v>2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3"/>
        <v>2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4"/>
        <v>2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5"/>
        <v>2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6"/>
        <v>2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 t="s">
        <v>101</v>
      </c>
      <c r="B11" s="16" t="s">
        <v>108</v>
      </c>
      <c r="C11" s="16"/>
      <c r="D11" s="17"/>
      <c r="E11" s="177" t="s">
        <v>143</v>
      </c>
      <c r="F11" s="18" t="s">
        <v>127</v>
      </c>
      <c r="G11" s="19" t="str">
        <f t="shared" ref="G9:G61" ca="1" si="46">(INDEX(Burndown,ROW(G11)-ROW(G$3),MIN(TODAY()-SprintStart,29)*3+3))</f>
        <v>Pending</v>
      </c>
      <c r="H11" s="20">
        <v>1</v>
      </c>
      <c r="I11" s="21">
        <v>2</v>
      </c>
      <c r="J11" s="22">
        <v>0</v>
      </c>
      <c r="K11" s="22">
        <f t="shared" si="23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4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5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6"/>
        <v>2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7"/>
        <v>2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8"/>
        <v>2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9"/>
        <v>2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0"/>
        <v>2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1"/>
        <v>2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2"/>
        <v>2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3"/>
        <v>2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4"/>
        <v>2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5"/>
        <v>2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6"/>
        <v>2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 t="s">
        <v>101</v>
      </c>
      <c r="B12" s="16" t="s">
        <v>108</v>
      </c>
      <c r="C12" s="16"/>
      <c r="D12" s="17"/>
      <c r="E12" s="177" t="s">
        <v>144</v>
      </c>
      <c r="F12" s="18" t="s">
        <v>127</v>
      </c>
      <c r="G12" s="19" t="str">
        <f t="shared" ca="1" si="46"/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 t="s">
        <v>131</v>
      </c>
      <c r="B13" s="16" t="s">
        <v>108</v>
      </c>
      <c r="C13" s="16"/>
      <c r="D13" s="17"/>
      <c r="E13" s="177" t="s">
        <v>148</v>
      </c>
      <c r="F13" s="18" t="s">
        <v>127</v>
      </c>
      <c r="G13" s="187" t="s">
        <v>123</v>
      </c>
      <c r="H13" s="20">
        <v>1</v>
      </c>
      <c r="I13" s="21">
        <v>2</v>
      </c>
      <c r="J13" s="22">
        <v>0</v>
      </c>
      <c r="K13" s="22">
        <f t="shared" si="23"/>
        <v>2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4"/>
        <v>2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5"/>
        <v>2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6"/>
        <v>2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7"/>
        <v>2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8"/>
        <v>2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9"/>
        <v>2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0"/>
        <v>2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1"/>
        <v>2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2"/>
        <v>2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3"/>
        <v>2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4"/>
        <v>2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5"/>
        <v>2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6"/>
        <v>2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 t="s">
        <v>129</v>
      </c>
      <c r="B14" s="16" t="s">
        <v>108</v>
      </c>
      <c r="C14" s="16"/>
      <c r="D14" s="17"/>
      <c r="E14" s="177" t="s">
        <v>145</v>
      </c>
      <c r="F14" s="18" t="s">
        <v>127</v>
      </c>
      <c r="G14" s="187" t="s">
        <v>137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0"/>
        <v>2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1"/>
        <v>2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2"/>
        <v>2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3"/>
        <v>2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4"/>
        <v>2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5"/>
        <v>2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6"/>
        <v>2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 t="s">
        <v>132</v>
      </c>
      <c r="B15" s="16" t="s">
        <v>114</v>
      </c>
      <c r="C15" s="16"/>
      <c r="D15" s="17"/>
      <c r="E15" s="177" t="s">
        <v>147</v>
      </c>
      <c r="F15" s="18" t="s">
        <v>125</v>
      </c>
      <c r="G15" s="19" t="str">
        <f t="shared" ca="1" si="46"/>
        <v>Pending</v>
      </c>
      <c r="H15" s="20">
        <v>1</v>
      </c>
      <c r="I15" s="21">
        <v>1</v>
      </c>
      <c r="J15" s="22">
        <v>0</v>
      </c>
      <c r="K15" s="22">
        <f t="shared" si="23"/>
        <v>1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4"/>
        <v>1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5"/>
        <v>1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6"/>
        <v>1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7"/>
        <v>1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8"/>
        <v>1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9"/>
        <v>1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0"/>
        <v>1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1"/>
        <v>1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2"/>
        <v>1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3"/>
        <v>1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4"/>
        <v>1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5"/>
        <v>1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6"/>
        <v>1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 t="s">
        <v>101</v>
      </c>
      <c r="B16" s="16" t="s">
        <v>108</v>
      </c>
      <c r="C16" s="16"/>
      <c r="D16" s="17"/>
      <c r="E16" s="177" t="s">
        <v>146</v>
      </c>
      <c r="F16" s="18" t="s">
        <v>134</v>
      </c>
      <c r="G16" s="19" t="str">
        <f t="shared" ca="1" si="46"/>
        <v>Pending</v>
      </c>
      <c r="H16" s="20">
        <v>1</v>
      </c>
      <c r="I16" s="21">
        <v>8</v>
      </c>
      <c r="J16" s="22">
        <v>0</v>
      </c>
      <c r="K16" s="22">
        <f t="shared" si="23"/>
        <v>8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4"/>
        <v>8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5"/>
        <v>8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6"/>
        <v>8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7"/>
        <v>8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8"/>
        <v>8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9"/>
        <v>8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0"/>
        <v>8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1"/>
        <v>8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2"/>
        <v>8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3"/>
        <v>8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4"/>
        <v>8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5"/>
        <v>8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6"/>
        <v>8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ht="21.75" x14ac:dyDescent="0.2">
      <c r="A17" s="16" t="s">
        <v>132</v>
      </c>
      <c r="B17" s="16" t="s">
        <v>103</v>
      </c>
      <c r="C17" s="16"/>
      <c r="D17" s="17"/>
      <c r="E17" s="205" t="s">
        <v>149</v>
      </c>
      <c r="F17" s="18" t="s">
        <v>125</v>
      </c>
      <c r="G17" s="19" t="str">
        <f t="shared" ca="1" si="46"/>
        <v>Pending</v>
      </c>
      <c r="H17" s="20">
        <v>1</v>
      </c>
      <c r="I17" s="21">
        <v>0</v>
      </c>
      <c r="J17" s="22">
        <v>0</v>
      </c>
      <c r="K17" s="22">
        <f t="shared" si="23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4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5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6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7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8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9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0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1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2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3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4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5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6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7"/>
      <c r="F18" s="18" t="s">
        <v>125</v>
      </c>
      <c r="G18" s="19" t="str">
        <f t="shared" ca="1" si="46"/>
        <v>Pending</v>
      </c>
      <c r="H18" s="20">
        <v>1</v>
      </c>
      <c r="I18" s="21">
        <v>0</v>
      </c>
      <c r="J18" s="22">
        <v>0</v>
      </c>
      <c r="K18" s="22">
        <f t="shared" si="23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4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5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6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7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8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9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0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1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2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3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4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5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6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7"/>
      <c r="F19" s="18" t="s">
        <v>125</v>
      </c>
      <c r="G19" s="19" t="str">
        <f t="shared" ca="1" si="46"/>
        <v>Pending</v>
      </c>
      <c r="H19" s="20">
        <v>1</v>
      </c>
      <c r="I19" s="21">
        <v>0</v>
      </c>
      <c r="J19" s="22">
        <v>0</v>
      </c>
      <c r="K19" s="22">
        <f t="shared" si="23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4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5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6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7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8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9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0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1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2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3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4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5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6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7"/>
      <c r="F20" s="18" t="s">
        <v>125</v>
      </c>
      <c r="G20" s="19" t="str">
        <f t="shared" ca="1" si="46"/>
        <v>Pending</v>
      </c>
      <c r="H20" s="20">
        <v>1</v>
      </c>
      <c r="I20" s="21">
        <v>0</v>
      </c>
      <c r="J20" s="22">
        <v>0</v>
      </c>
      <c r="K20" s="22">
        <f t="shared" si="23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4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5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6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7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8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9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0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1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2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3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4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5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6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7"/>
      <c r="F21" s="18" t="s">
        <v>125</v>
      </c>
      <c r="G21" s="19" t="str">
        <f t="shared" ca="1" si="46"/>
        <v>Pending</v>
      </c>
      <c r="H21" s="20">
        <v>1</v>
      </c>
      <c r="I21" s="21">
        <v>0</v>
      </c>
      <c r="J21" s="22">
        <v>0</v>
      </c>
      <c r="K21" s="22">
        <f t="shared" si="23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4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5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6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7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8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9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0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1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2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3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4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5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6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7"/>
      <c r="F22" s="18" t="s">
        <v>125</v>
      </c>
      <c r="G22" s="19" t="str">
        <f t="shared" ca="1" si="46"/>
        <v>Pending</v>
      </c>
      <c r="H22" s="20">
        <v>1</v>
      </c>
      <c r="I22" s="21">
        <v>0</v>
      </c>
      <c r="J22" s="22">
        <v>0</v>
      </c>
      <c r="K22" s="22">
        <f t="shared" si="23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4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5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6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7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8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9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0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1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2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3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4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5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6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7"/>
      <c r="F23" s="18" t="s">
        <v>125</v>
      </c>
      <c r="G23" s="19" t="str">
        <f t="shared" ca="1" si="46"/>
        <v>Pending</v>
      </c>
      <c r="H23" s="20">
        <v>1</v>
      </c>
      <c r="I23" s="21">
        <v>0</v>
      </c>
      <c r="J23" s="22">
        <v>0</v>
      </c>
      <c r="K23" s="22">
        <f t="shared" si="23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4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5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6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7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8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9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0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1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2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3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4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5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6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7"/>
      <c r="F24" s="18" t="s">
        <v>125</v>
      </c>
      <c r="G24" s="19" t="str">
        <f t="shared" ca="1" si="46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7"/>
      <c r="F25" s="18" t="s">
        <v>125</v>
      </c>
      <c r="G25" s="19" t="str">
        <f t="shared" ca="1" si="46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7"/>
      <c r="F26" s="18" t="s">
        <v>125</v>
      </c>
      <c r="G26" s="19" t="str">
        <f t="shared" ca="1" si="46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7"/>
      <c r="F27" s="18" t="s">
        <v>125</v>
      </c>
      <c r="G27" s="19" t="str">
        <f t="shared" ca="1" si="46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7"/>
      <c r="F28" s="18" t="s">
        <v>125</v>
      </c>
      <c r="G28" s="19" t="str">
        <f t="shared" ca="1" si="46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7"/>
      <c r="F29" s="18" t="s">
        <v>125</v>
      </c>
      <c r="G29" s="19" t="str">
        <f t="shared" ca="1" si="46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7"/>
      <c r="F30" s="18" t="s">
        <v>125</v>
      </c>
      <c r="G30" s="19" t="str">
        <f t="shared" ca="1" si="46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7"/>
      <c r="F31" s="18" t="s">
        <v>125</v>
      </c>
      <c r="G31" s="19" t="str">
        <f t="shared" ca="1" si="46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7"/>
      <c r="F32" s="18" t="s">
        <v>125</v>
      </c>
      <c r="G32" s="19" t="str">
        <f t="shared" ca="1" si="46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7"/>
      <c r="F33" s="18" t="s">
        <v>125</v>
      </c>
      <c r="G33" s="19" t="str">
        <f t="shared" ca="1" si="46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7"/>
      <c r="F34" s="18" t="s">
        <v>125</v>
      </c>
      <c r="G34" s="19" t="str">
        <f t="shared" ca="1" si="46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7"/>
      <c r="F35" s="18" t="s">
        <v>125</v>
      </c>
      <c r="G35" s="19" t="str">
        <f t="shared" ca="1" si="46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7"/>
      <c r="F36" s="18" t="s">
        <v>125</v>
      </c>
      <c r="G36" s="19" t="str">
        <f t="shared" ca="1" si="46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7"/>
      <c r="F37" s="18" t="s">
        <v>125</v>
      </c>
      <c r="G37" s="19" t="str">
        <f t="shared" ca="1" si="46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7"/>
      <c r="F38" s="18" t="s">
        <v>125</v>
      </c>
      <c r="G38" s="19" t="str">
        <f t="shared" ca="1" si="46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7"/>
      <c r="F39" s="18" t="s">
        <v>125</v>
      </c>
      <c r="G39" s="19" t="str">
        <f t="shared" ca="1" si="46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7"/>
      <c r="F40" s="18" t="s">
        <v>125</v>
      </c>
      <c r="G40" s="19" t="str">
        <f t="shared" ca="1" si="46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7"/>
      <c r="F41" s="18" t="s">
        <v>125</v>
      </c>
      <c r="G41" s="19" t="str">
        <f t="shared" ca="1" si="46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7"/>
      <c r="F42" s="18" t="s">
        <v>125</v>
      </c>
      <c r="G42" s="19" t="str">
        <f t="shared" ca="1" si="46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7"/>
      <c r="F43" s="18" t="s">
        <v>125</v>
      </c>
      <c r="G43" s="19" t="str">
        <f t="shared" ca="1" si="46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7"/>
      <c r="F44" s="18" t="s">
        <v>125</v>
      </c>
      <c r="G44" s="19" t="str">
        <f t="shared" ca="1" si="46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7"/>
      <c r="F45" s="18" t="s">
        <v>125</v>
      </c>
      <c r="G45" s="19" t="str">
        <f t="shared" ca="1" si="46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7"/>
      <c r="F46" s="18" t="s">
        <v>125</v>
      </c>
      <c r="G46" s="19" t="str">
        <f t="shared" ca="1" si="46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7"/>
      <c r="F47" s="18" t="s">
        <v>125</v>
      </c>
      <c r="G47" s="19" t="str">
        <f t="shared" ca="1" si="46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7"/>
      <c r="F48" s="18" t="s">
        <v>125</v>
      </c>
      <c r="G48" s="19" t="str">
        <f t="shared" ca="1" si="46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7"/>
      <c r="F49" s="18" t="s">
        <v>125</v>
      </c>
      <c r="G49" s="19" t="str">
        <f t="shared" ca="1" si="46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7"/>
      <c r="F50" s="18" t="s">
        <v>125</v>
      </c>
      <c r="G50" s="19" t="str">
        <f t="shared" ca="1" si="46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7"/>
      <c r="F51" s="18" t="s">
        <v>125</v>
      </c>
      <c r="G51" s="19" t="str">
        <f t="shared" ca="1" si="46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7"/>
      <c r="F52" s="18" t="s">
        <v>125</v>
      </c>
      <c r="G52" s="19" t="str">
        <f t="shared" ca="1" si="46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7"/>
      <c r="F53" s="18" t="s">
        <v>125</v>
      </c>
      <c r="G53" s="19" t="str">
        <f t="shared" ca="1" si="46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7"/>
      <c r="F54" s="18" t="s">
        <v>125</v>
      </c>
      <c r="G54" s="19" t="str">
        <f t="shared" ca="1" si="46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7"/>
      <c r="F55" s="18" t="s">
        <v>125</v>
      </c>
      <c r="G55" s="19" t="str">
        <f t="shared" ca="1" si="46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125</v>
      </c>
      <c r="G56" s="19" t="str">
        <f t="shared" ca="1" si="46"/>
        <v>Pending</v>
      </c>
      <c r="H56" s="20">
        <v>1</v>
      </c>
      <c r="I56" s="21">
        <v>0</v>
      </c>
      <c r="J56" s="22">
        <v>0</v>
      </c>
      <c r="K56" s="22">
        <f t="shared" si="23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4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5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6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7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8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9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0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1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2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3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4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5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6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7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8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9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0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1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2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3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4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5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125</v>
      </c>
      <c r="G57" s="19" t="str">
        <f t="shared" ca="1" si="46"/>
        <v>Pending</v>
      </c>
      <c r="H57" s="20">
        <v>1</v>
      </c>
      <c r="I57" s="21">
        <v>0</v>
      </c>
      <c r="J57" s="22">
        <v>0</v>
      </c>
      <c r="K57" s="22">
        <f t="shared" si="23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4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5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6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7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8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9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0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1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2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3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4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5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6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7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8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9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0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1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2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3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4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5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7"/>
      <c r="F58" s="18" t="s">
        <v>125</v>
      </c>
      <c r="G58" s="19" t="str">
        <f t="shared" ca="1" si="46"/>
        <v>Pending</v>
      </c>
      <c r="H58" s="20">
        <v>1</v>
      </c>
      <c r="I58" s="21">
        <v>0</v>
      </c>
      <c r="J58" s="22">
        <v>0</v>
      </c>
      <c r="K58" s="22">
        <f t="shared" si="23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4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5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6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7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8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9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0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1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2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3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4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5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6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7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8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9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0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1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2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3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4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5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7"/>
      <c r="F59" s="18" t="s">
        <v>125</v>
      </c>
      <c r="G59" s="19" t="str">
        <f t="shared" ca="1" si="46"/>
        <v>Pending</v>
      </c>
      <c r="H59" s="20">
        <v>1</v>
      </c>
      <c r="I59" s="21">
        <v>0</v>
      </c>
      <c r="J59" s="22">
        <v>0</v>
      </c>
      <c r="K59" s="22">
        <f t="shared" si="23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4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5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6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7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8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9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0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1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2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3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4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5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6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7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8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9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0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1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2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3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4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5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7"/>
      <c r="F60" s="18" t="s">
        <v>125</v>
      </c>
      <c r="G60" s="19" t="str">
        <f t="shared" ca="1" si="46"/>
        <v>Pending</v>
      </c>
      <c r="H60" s="20">
        <v>1</v>
      </c>
      <c r="I60" s="21">
        <v>0</v>
      </c>
      <c r="J60" s="22">
        <v>0</v>
      </c>
      <c r="K60" s="22">
        <f t="shared" si="23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4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5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6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7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8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9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0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1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2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3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4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5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6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7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8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9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0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1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2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3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4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5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6"/>
      <c r="F61" s="18" t="s">
        <v>48</v>
      </c>
      <c r="G61" s="19" t="str">
        <f t="shared" ca="1" si="46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1" t="s">
        <v>9</v>
      </c>
      <c r="K63" s="192"/>
      <c r="L63" s="30">
        <v>1</v>
      </c>
      <c r="M63" s="188" t="s">
        <v>9</v>
      </c>
      <c r="N63" s="190"/>
      <c r="O63" s="30">
        <f>L63+1</f>
        <v>2</v>
      </c>
      <c r="P63" s="188" t="s">
        <v>9</v>
      </c>
      <c r="Q63" s="190"/>
      <c r="R63" s="30">
        <f>O63+1</f>
        <v>3</v>
      </c>
      <c r="S63" s="188" t="s">
        <v>9</v>
      </c>
      <c r="T63" s="190"/>
      <c r="U63" s="30">
        <f>R63+1</f>
        <v>4</v>
      </c>
      <c r="V63" s="188" t="s">
        <v>9</v>
      </c>
      <c r="W63" s="190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90"/>
      <c r="BB63" s="30" t="e">
        <f>#REF!+1</f>
        <v>#REF!</v>
      </c>
      <c r="BC63" s="188" t="s">
        <v>9</v>
      </c>
      <c r="BD63" s="190"/>
      <c r="BE63" s="30" t="e">
        <f>BB63+1</f>
        <v>#REF!</v>
      </c>
      <c r="BF63" s="188" t="s">
        <v>9</v>
      </c>
      <c r="BG63" s="190"/>
      <c r="BH63" s="30" t="e">
        <f>BE63+1</f>
        <v>#REF!</v>
      </c>
      <c r="BI63" s="188" t="s">
        <v>9</v>
      </c>
      <c r="BJ63" s="190"/>
      <c r="BK63" s="30" t="e">
        <f>BH63+1</f>
        <v>#REF!</v>
      </c>
      <c r="BL63" s="188" t="s">
        <v>9</v>
      </c>
      <c r="BM63" s="190"/>
      <c r="BN63" s="30" t="e">
        <f>BK63+1</f>
        <v>#REF!</v>
      </c>
      <c r="BO63" s="188" t="s">
        <v>9</v>
      </c>
      <c r="BP63" s="190"/>
      <c r="BQ63" s="30" t="e">
        <f>BN63+1</f>
        <v>#REF!</v>
      </c>
      <c r="BR63" s="188" t="s">
        <v>9</v>
      </c>
      <c r="BS63" s="190"/>
      <c r="BT63" s="30" t="e">
        <f>BQ63+1</f>
        <v>#REF!</v>
      </c>
      <c r="BU63" s="188" t="s">
        <v>9</v>
      </c>
      <c r="BV63" s="190"/>
      <c r="BW63" s="30" t="e">
        <f>BT63+1</f>
        <v>#REF!</v>
      </c>
      <c r="BX63" s="188" t="s">
        <v>9</v>
      </c>
      <c r="BY63" s="190"/>
      <c r="BZ63" s="30" t="e">
        <f>BW63+1</f>
        <v>#REF!</v>
      </c>
      <c r="CA63" s="188" t="s">
        <v>9</v>
      </c>
      <c r="CB63" s="190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4">
        <v>1</v>
      </c>
      <c r="K64" s="154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4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4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40</v>
      </c>
      <c r="J67" s="155">
        <f>SUBTOTAL(109,J$4:J$62)</f>
        <v>1</v>
      </c>
      <c r="K67" s="155">
        <f>SUBTOTAL(109,K$4:K$61)</f>
        <v>39</v>
      </c>
      <c r="L67" s="39"/>
      <c r="M67" s="39">
        <f>SUBTOTAL(109,M$4:M$62)</f>
        <v>2</v>
      </c>
      <c r="N67" s="39">
        <f>SUBTOTAL(109,N$4:N$61)</f>
        <v>37</v>
      </c>
      <c r="O67" s="39"/>
      <c r="P67" s="39">
        <f>SUBTOTAL(109,P$4:P$62)</f>
        <v>0</v>
      </c>
      <c r="Q67" s="39">
        <f>SUBTOTAL(109,Q$4:Q$61)</f>
        <v>37</v>
      </c>
      <c r="R67" s="39"/>
      <c r="S67" s="39">
        <f>SUBTOTAL(109,S$4:S$62)</f>
        <v>0</v>
      </c>
      <c r="T67" s="39">
        <f>SUBTOTAL(109,T$4:T$61)</f>
        <v>37</v>
      </c>
      <c r="U67" s="39"/>
      <c r="V67" s="39">
        <f>SUBTOTAL(109,V$4:V$62)</f>
        <v>0</v>
      </c>
      <c r="W67" s="39">
        <f>SUBTOTAL(109,W$4:W$61)</f>
        <v>37</v>
      </c>
      <c r="X67" s="39"/>
      <c r="Y67" s="39">
        <f>SUBTOTAL(109,Y$4:Y$62)</f>
        <v>0</v>
      </c>
      <c r="Z67" s="39">
        <f>SUBTOTAL(109,Z$4:Z$61)</f>
        <v>37</v>
      </c>
      <c r="AA67" s="39"/>
      <c r="AB67" s="39">
        <f>SUBTOTAL(109,AB$4:AB$62)</f>
        <v>0</v>
      </c>
      <c r="AC67" s="39">
        <f>SUBTOTAL(109,AC$4:AC$61)</f>
        <v>37</v>
      </c>
      <c r="AD67" s="39"/>
      <c r="AE67" s="39">
        <f>SUBTOTAL(109,AE$4:AE$62)</f>
        <v>0</v>
      </c>
      <c r="AF67" s="39">
        <f>SUBTOTAL(109,AF$4:AF$61)</f>
        <v>37</v>
      </c>
      <c r="AG67" s="39"/>
      <c r="AH67" s="39">
        <f>SUBTOTAL(109,AH$4:AH$62)</f>
        <v>0</v>
      </c>
      <c r="AI67" s="39">
        <f>SUBTOTAL(109,AI$4:AI$61)</f>
        <v>37</v>
      </c>
      <c r="AJ67" s="39"/>
      <c r="AK67" s="39">
        <f>SUBTOTAL(109,AK$4:AK$62)</f>
        <v>0</v>
      </c>
      <c r="AL67" s="39">
        <f>SUBTOTAL(109,AL$4:AL$61)</f>
        <v>37</v>
      </c>
      <c r="AM67" s="39"/>
      <c r="AN67" s="39">
        <f>SUBTOTAL(109,AN$4:AN$62)</f>
        <v>0</v>
      </c>
      <c r="AO67" s="39">
        <f>SUBTOTAL(109,AO$4:AO$61)</f>
        <v>37</v>
      </c>
      <c r="AP67" s="39"/>
      <c r="AQ67" s="39">
        <f>SUBTOTAL(109,AQ$4:AQ$62)</f>
        <v>0</v>
      </c>
      <c r="AR67" s="39">
        <f>SUBTOTAL(109,AR$4:AR$61)</f>
        <v>37</v>
      </c>
      <c r="AS67" s="39"/>
      <c r="AT67" s="39">
        <f>SUBTOTAL(109,AT$4:AT$62)</f>
        <v>0</v>
      </c>
      <c r="AU67" s="39">
        <f>SUBTOTAL(109,AU$4:AU$61)</f>
        <v>37</v>
      </c>
      <c r="AV67" s="39"/>
      <c r="AW67" s="39">
        <f>SUBTOTAL(109,AW$4:AW$62)</f>
        <v>0</v>
      </c>
      <c r="AX67" s="39">
        <f>SUBTOTAL(109,AX$4:AX$61)</f>
        <v>37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6"/>
      <c r="K68" s="157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6"/>
      <c r="K69" s="157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56" priority="11" stopIfTrue="1" operator="lessThan">
      <formula>C67*0.75</formula>
    </cfRule>
    <cfRule type="cellIs" dxfId="55" priority="11" stopIfTrue="1" operator="between">
      <formula>C67*0.75</formula>
      <formula>#REF!</formula>
    </cfRule>
    <cfRule type="cellIs" dxfId="54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3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52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51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50" priority="14" stopIfTrue="1">
      <formula>J$1=TODAY()+DailyScrumDateModifier</formula>
    </cfRule>
    <cfRule type="expression" dxfId="49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48" priority="16" stopIfTrue="1">
      <formula>J$1=TODAY()+DailyScrumDateModifier</formula>
    </cfRule>
    <cfRule type="expression" dxfId="47" priority="16" stopIfTrue="1">
      <formula>MOD(ROW(),2)</formula>
    </cfRule>
  </conditionalFormatting>
  <conditionalFormatting sqref="CE4:CE62 H4:I61 A4:E61">
    <cfRule type="expression" dxfId="46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45" priority="19" stopIfTrue="1" operator="equal">
      <formula>"Pending"</formula>
    </cfRule>
    <cfRule type="cellIs" dxfId="44" priority="19" stopIfTrue="1" operator="equal">
      <formula>"In Progress"</formula>
    </cfRule>
    <cfRule type="cellIs" dxfId="43" priority="19" stopIfTrue="1" operator="equal">
      <formula>"Complete"</formula>
    </cfRule>
  </conditionalFormatting>
  <conditionalFormatting sqref="J1:CC1">
    <cfRule type="expression" dxfId="42" priority="6" stopIfTrue="1">
      <formula>J$1=TODAY()+DailyScrumDateModifier</formula>
    </cfRule>
    <cfRule type="expression" dxfId="41" priority="6" stopIfTrue="1">
      <formula>J$1=TODAY()</formula>
    </cfRule>
  </conditionalFormatting>
  <conditionalFormatting sqref="J68:K69 M68:N69">
    <cfRule type="expression" dxfId="40" priority="8" stopIfTrue="1">
      <formula>"I1=TODAY()"</formula>
    </cfRule>
  </conditionalFormatting>
  <conditionalFormatting sqref="G63">
    <cfRule type="cellIs" dxfId="39" priority="9" stopIfTrue="1" operator="equal">
      <formula>"Complete"</formula>
    </cfRule>
    <cfRule type="cellIs" dxfId="38" priority="9" stopIfTrue="1" operator="equal">
      <formula>"In Progress"</formula>
    </cfRule>
  </conditionalFormatting>
  <conditionalFormatting sqref="G4:G61">
    <cfRule type="cellIs" dxfId="37" priority="22" stopIfTrue="1" operator="equal">
      <formula>"Complete"</formula>
    </cfRule>
    <cfRule type="cellIs" dxfId="36" priority="22" stopIfTrue="1" operator="equal">
      <formula>"In Progress"</formula>
    </cfRule>
    <cfRule type="cellIs" dxfId="35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2" sqref="F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8"/>
    </row>
    <row r="19" spans="1:18" x14ac:dyDescent="0.2">
      <c r="A19" s="159" t="str">
        <f>IF(SkipWeekends, "Working Day", "Calendar Day")</f>
        <v>Calendar Day</v>
      </c>
      <c r="B19" s="160"/>
      <c r="C19" s="161"/>
      <c r="D19" s="162"/>
      <c r="E19" s="161">
        <v>1</v>
      </c>
      <c r="F19" s="161">
        <v>2</v>
      </c>
      <c r="G19" s="161">
        <v>3</v>
      </c>
      <c r="H19" s="161">
        <v>4</v>
      </c>
      <c r="I19" s="161">
        <v>5</v>
      </c>
      <c r="J19" s="161">
        <v>6</v>
      </c>
      <c r="K19" s="161">
        <v>7</v>
      </c>
      <c r="L19" s="161">
        <v>8</v>
      </c>
      <c r="M19" s="161">
        <v>9</v>
      </c>
      <c r="N19" s="161">
        <v>10</v>
      </c>
      <c r="O19" s="161">
        <v>11</v>
      </c>
      <c r="P19" s="161">
        <v>12</v>
      </c>
      <c r="Q19" s="161">
        <v>13</v>
      </c>
      <c r="R19" s="161">
        <v>14</v>
      </c>
    </row>
    <row r="20" spans="1:18" x14ac:dyDescent="0.2">
      <c r="A20" s="159" t="s">
        <v>21</v>
      </c>
      <c r="B20" s="160"/>
      <c r="C20" s="161"/>
      <c r="D20" s="162"/>
      <c r="E20" s="163">
        <f t="shared" ref="E20:R20" ca="1" si="0">INDEX(SprintDates,1,(E19-1)*BurndownColumns+1)</f>
        <v>42111</v>
      </c>
      <c r="F20" s="163">
        <f t="shared" ca="1" si="0"/>
        <v>42112</v>
      </c>
      <c r="G20" s="163">
        <f t="shared" ca="1" si="0"/>
        <v>42113</v>
      </c>
      <c r="H20" s="163">
        <f t="shared" ca="1" si="0"/>
        <v>42114</v>
      </c>
      <c r="I20" s="163">
        <f t="shared" ca="1" si="0"/>
        <v>42115</v>
      </c>
      <c r="J20" s="163">
        <f t="shared" ca="1" si="0"/>
        <v>42116</v>
      </c>
      <c r="K20" s="163">
        <f t="shared" ca="1" si="0"/>
        <v>42117</v>
      </c>
      <c r="L20" s="163">
        <f t="shared" ca="1" si="0"/>
        <v>42118</v>
      </c>
      <c r="M20" s="163">
        <f t="shared" ca="1" si="0"/>
        <v>42119</v>
      </c>
      <c r="N20" s="163">
        <f t="shared" ca="1" si="0"/>
        <v>42120</v>
      </c>
      <c r="O20" s="163">
        <f t="shared" ca="1" si="0"/>
        <v>42121</v>
      </c>
      <c r="P20" s="163">
        <f t="shared" ca="1" si="0"/>
        <v>42122</v>
      </c>
      <c r="Q20" s="163">
        <f t="shared" ca="1" si="0"/>
        <v>42123</v>
      </c>
      <c r="R20" s="163">
        <f t="shared" ca="1" si="0"/>
        <v>42124</v>
      </c>
    </row>
    <row r="21" spans="1:18" x14ac:dyDescent="0.2">
      <c r="A21" s="159"/>
      <c r="B21" s="160"/>
      <c r="C21" s="161"/>
      <c r="D21" s="162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</row>
    <row r="22" spans="1:18" x14ac:dyDescent="0.2">
      <c r="A22" s="159" t="s">
        <v>8</v>
      </c>
      <c r="B22" s="161"/>
      <c r="C22" s="164"/>
      <c r="D22" s="165"/>
      <c r="E22" s="161">
        <f t="shared" ref="E22:R22" ca="1" si="1">IF(E20&gt;TODAY(), #N/A, SUM(INDEX(Burndown,,(E19-1)*BurndownColumns+HoursLeftColumn)))</f>
        <v>39</v>
      </c>
      <c r="F22" s="161" t="e">
        <f t="shared" ca="1" si="1"/>
        <v>#N/A</v>
      </c>
      <c r="G22" s="161" t="e">
        <f t="shared" ca="1" si="1"/>
        <v>#N/A</v>
      </c>
      <c r="H22" s="161" t="e">
        <f t="shared" ca="1" si="1"/>
        <v>#N/A</v>
      </c>
      <c r="I22" s="161" t="e">
        <f t="shared" ca="1" si="1"/>
        <v>#N/A</v>
      </c>
      <c r="J22" s="161" t="e">
        <f t="shared" ca="1" si="1"/>
        <v>#N/A</v>
      </c>
      <c r="K22" s="161" t="e">
        <f t="shared" ca="1" si="1"/>
        <v>#N/A</v>
      </c>
      <c r="L22" s="161" t="e">
        <f t="shared" ca="1" si="1"/>
        <v>#N/A</v>
      </c>
      <c r="M22" s="161" t="e">
        <f t="shared" ca="1" si="1"/>
        <v>#N/A</v>
      </c>
      <c r="N22" s="161" t="e">
        <f t="shared" ca="1" si="1"/>
        <v>#N/A</v>
      </c>
      <c r="O22" s="161" t="e">
        <f t="shared" ca="1" si="1"/>
        <v>#N/A</v>
      </c>
      <c r="P22" s="161" t="e">
        <f t="shared" ca="1" si="1"/>
        <v>#N/A</v>
      </c>
      <c r="Q22" s="161" t="e">
        <f t="shared" ca="1" si="1"/>
        <v>#N/A</v>
      </c>
      <c r="R22" s="161" t="e">
        <f t="shared" ca="1" si="1"/>
        <v>#N/A</v>
      </c>
    </row>
    <row r="23" spans="1:18" x14ac:dyDescent="0.2">
      <c r="A23" s="166" t="s">
        <v>20</v>
      </c>
      <c r="B23" s="164"/>
      <c r="C23" s="164"/>
      <c r="D23" s="165"/>
      <c r="E23" s="162">
        <f t="shared" ref="E23:R23" ca="1" si="2">IF(E20&gt;TODAY(), #N/A, SUM(INDEX(Burndown,,(E19-1)*BurndownColumns+HoursSpentColumn)))</f>
        <v>1</v>
      </c>
      <c r="F23" s="162" t="e">
        <f t="shared" ca="1" si="2"/>
        <v>#N/A</v>
      </c>
      <c r="G23" s="162" t="e">
        <f t="shared" ca="1" si="2"/>
        <v>#N/A</v>
      </c>
      <c r="H23" s="162" t="e">
        <f t="shared" ca="1" si="2"/>
        <v>#N/A</v>
      </c>
      <c r="I23" s="162" t="e">
        <f t="shared" ca="1" si="2"/>
        <v>#N/A</v>
      </c>
      <c r="J23" s="162" t="e">
        <f t="shared" ca="1" si="2"/>
        <v>#N/A</v>
      </c>
      <c r="K23" s="162" t="e">
        <f t="shared" ca="1" si="2"/>
        <v>#N/A</v>
      </c>
      <c r="L23" s="162" t="e">
        <f t="shared" ca="1" si="2"/>
        <v>#N/A</v>
      </c>
      <c r="M23" s="162" t="e">
        <f t="shared" ca="1" si="2"/>
        <v>#N/A</v>
      </c>
      <c r="N23" s="162" t="e">
        <f t="shared" ca="1" si="2"/>
        <v>#N/A</v>
      </c>
      <c r="O23" s="162" t="e">
        <f t="shared" ca="1" si="2"/>
        <v>#N/A</v>
      </c>
      <c r="P23" s="162" t="e">
        <f t="shared" ca="1" si="2"/>
        <v>#N/A</v>
      </c>
      <c r="Q23" s="162" t="e">
        <f t="shared" ca="1" si="2"/>
        <v>#N/A</v>
      </c>
      <c r="R23" s="162" t="e">
        <f t="shared" ca="1" si="2"/>
        <v>#N/A</v>
      </c>
    </row>
    <row r="24" spans="1:18" x14ac:dyDescent="0.2">
      <c r="A24" s="166" t="s">
        <v>3</v>
      </c>
      <c r="B24" s="164"/>
      <c r="C24" s="164"/>
      <c r="D24" s="165"/>
      <c r="E24" s="162">
        <f ca="1">IF(E20&gt;TODAY(), #N/A, SUM($E23:E23))</f>
        <v>1</v>
      </c>
      <c r="F24" s="162" t="e">
        <f ca="1">IF(F20&gt;TODAY(), #N/A, SUM($E23:F23))</f>
        <v>#N/A</v>
      </c>
      <c r="G24" s="162" t="e">
        <f ca="1">IF(G20&gt;TODAY(), #N/A, SUM($E23:G23))</f>
        <v>#N/A</v>
      </c>
      <c r="H24" s="162" t="e">
        <f ca="1">IF(H20&gt;TODAY(), #N/A, SUM($E23:H23))</f>
        <v>#N/A</v>
      </c>
      <c r="I24" s="162" t="e">
        <f ca="1">IF(I20&gt;TODAY(), #N/A, SUM($E23:I23))</f>
        <v>#N/A</v>
      </c>
      <c r="J24" s="162" t="e">
        <f ca="1">IF(J20&gt;TODAY(), #N/A, SUM($E23:J23))</f>
        <v>#N/A</v>
      </c>
      <c r="K24" s="162" t="e">
        <f ca="1">IF(K20&gt;TODAY(), #N/A, SUM($E23:K23))</f>
        <v>#N/A</v>
      </c>
      <c r="L24" s="162" t="e">
        <f ca="1">IF(L20&gt;TODAY(), #N/A, SUM($E23:L23))</f>
        <v>#N/A</v>
      </c>
      <c r="M24" s="162" t="e">
        <f ca="1">IF(M20&gt;TODAY(), #N/A, SUM($E23:M23))</f>
        <v>#N/A</v>
      </c>
      <c r="N24" s="162" t="e">
        <f ca="1">IF(N20&gt;TODAY(), #N/A, SUM($E23:N23))</f>
        <v>#N/A</v>
      </c>
      <c r="O24" s="162" t="e">
        <f ca="1">IF(O20&gt;TODAY(), #N/A, SUM($E23:O23))</f>
        <v>#N/A</v>
      </c>
      <c r="P24" s="162" t="e">
        <f ca="1">IF(P20&gt;TODAY(), #N/A, SUM($E23:P23))</f>
        <v>#N/A</v>
      </c>
      <c r="Q24" s="162" t="e">
        <f ca="1">IF(Q20&gt;TODAY(), #N/A, SUM($E23:Q23))</f>
        <v>#N/A</v>
      </c>
      <c r="R24" s="162" t="e">
        <f ca="1">IF(R20&gt;TODAY(), #N/A, SUM($E23:R23))</f>
        <v>#N/A</v>
      </c>
    </row>
    <row r="25" spans="1:18" x14ac:dyDescent="0.2">
      <c r="A25" s="166" t="s">
        <v>22</v>
      </c>
      <c r="B25" s="164"/>
      <c r="C25" s="164"/>
      <c r="D25" s="165"/>
      <c r="E25" s="162">
        <f t="shared" ref="E25:R25" ca="1" si="3">IF(E20&gt;TODAY(), #N/A, E22+E24)</f>
        <v>40</v>
      </c>
      <c r="F25" s="162" t="e">
        <f t="shared" ca="1" si="3"/>
        <v>#N/A</v>
      </c>
      <c r="G25" s="162" t="e">
        <f t="shared" ca="1" si="3"/>
        <v>#N/A</v>
      </c>
      <c r="H25" s="162" t="e">
        <f t="shared" ca="1" si="3"/>
        <v>#N/A</v>
      </c>
      <c r="I25" s="162" t="e">
        <f t="shared" ca="1" si="3"/>
        <v>#N/A</v>
      </c>
      <c r="J25" s="162" t="e">
        <f t="shared" ca="1" si="3"/>
        <v>#N/A</v>
      </c>
      <c r="K25" s="162" t="e">
        <f t="shared" ca="1" si="3"/>
        <v>#N/A</v>
      </c>
      <c r="L25" s="162" t="e">
        <f t="shared" ca="1" si="3"/>
        <v>#N/A</v>
      </c>
      <c r="M25" s="162" t="e">
        <f t="shared" ca="1" si="3"/>
        <v>#N/A</v>
      </c>
      <c r="N25" s="162" t="e">
        <f t="shared" ca="1" si="3"/>
        <v>#N/A</v>
      </c>
      <c r="O25" s="162" t="e">
        <f t="shared" ca="1" si="3"/>
        <v>#N/A</v>
      </c>
      <c r="P25" s="162" t="e">
        <f t="shared" ca="1" si="3"/>
        <v>#N/A</v>
      </c>
      <c r="Q25" s="162" t="e">
        <f t="shared" ca="1" si="3"/>
        <v>#N/A</v>
      </c>
      <c r="R25" s="162" t="e">
        <f t="shared" ca="1" si="3"/>
        <v>#N/A</v>
      </c>
    </row>
    <row r="26" spans="1:18" x14ac:dyDescent="0.2">
      <c r="A26" s="166"/>
      <c r="B26" s="164"/>
      <c r="C26" s="164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</row>
    <row r="27" spans="1:18" x14ac:dyDescent="0.2">
      <c r="A27" s="159" t="s">
        <v>4</v>
      </c>
      <c r="B27" s="164"/>
      <c r="C27" s="161"/>
      <c r="D27" s="165"/>
      <c r="E27" s="167">
        <f t="shared" ref="E27:R27" ca="1" si="4">IF(E20&gt;TODAY(), #N/A, E24/E19)</f>
        <v>1</v>
      </c>
      <c r="F27" s="167" t="e">
        <f t="shared" ca="1" si="4"/>
        <v>#N/A</v>
      </c>
      <c r="G27" s="167" t="e">
        <f t="shared" ca="1" si="4"/>
        <v>#N/A</v>
      </c>
      <c r="H27" s="167" t="e">
        <f t="shared" ca="1" si="4"/>
        <v>#N/A</v>
      </c>
      <c r="I27" s="167" t="e">
        <f t="shared" ca="1" si="4"/>
        <v>#N/A</v>
      </c>
      <c r="J27" s="167" t="e">
        <f t="shared" ca="1" si="4"/>
        <v>#N/A</v>
      </c>
      <c r="K27" s="167" t="e">
        <f t="shared" ca="1" si="4"/>
        <v>#N/A</v>
      </c>
      <c r="L27" s="167" t="e">
        <f t="shared" ca="1" si="4"/>
        <v>#N/A</v>
      </c>
      <c r="M27" s="167" t="e">
        <f t="shared" ca="1" si="4"/>
        <v>#N/A</v>
      </c>
      <c r="N27" s="167" t="e">
        <f t="shared" ca="1" si="4"/>
        <v>#N/A</v>
      </c>
      <c r="O27" s="167" t="e">
        <f t="shared" ca="1" si="4"/>
        <v>#N/A</v>
      </c>
      <c r="P27" s="167" t="e">
        <f t="shared" ca="1" si="4"/>
        <v>#N/A</v>
      </c>
      <c r="Q27" s="167" t="e">
        <f t="shared" ca="1" si="4"/>
        <v>#N/A</v>
      </c>
      <c r="R27" s="167" t="e">
        <f t="shared" ca="1" si="4"/>
        <v>#N/A</v>
      </c>
    </row>
    <row r="28" spans="1:18" x14ac:dyDescent="0.2">
      <c r="A28" s="166" t="s">
        <v>5</v>
      </c>
      <c r="B28" s="164"/>
      <c r="C28" s="164"/>
      <c r="D28" s="165"/>
      <c r="E28" s="168">
        <f t="shared" ref="E28:R28" ca="1" si="5">IF(E20&gt;TODAY(), #N/A, IF(E27=0, SprintStart, E20 + (E22/E27)))</f>
        <v>42150</v>
      </c>
      <c r="F28" s="168" t="e">
        <f t="shared" ca="1" si="5"/>
        <v>#N/A</v>
      </c>
      <c r="G28" s="168" t="e">
        <f t="shared" ca="1" si="5"/>
        <v>#N/A</v>
      </c>
      <c r="H28" s="168" t="e">
        <f t="shared" ca="1" si="5"/>
        <v>#N/A</v>
      </c>
      <c r="I28" s="168" t="e">
        <f t="shared" ca="1" si="5"/>
        <v>#N/A</v>
      </c>
      <c r="J28" s="168" t="e">
        <f t="shared" ca="1" si="5"/>
        <v>#N/A</v>
      </c>
      <c r="K28" s="168" t="e">
        <f t="shared" ca="1" si="5"/>
        <v>#N/A</v>
      </c>
      <c r="L28" s="168" t="e">
        <f t="shared" ca="1" si="5"/>
        <v>#N/A</v>
      </c>
      <c r="M28" s="168" t="e">
        <f t="shared" ca="1" si="5"/>
        <v>#N/A</v>
      </c>
      <c r="N28" s="168" t="e">
        <f t="shared" ca="1" si="5"/>
        <v>#N/A</v>
      </c>
      <c r="O28" s="168" t="e">
        <f t="shared" ca="1" si="5"/>
        <v>#N/A</v>
      </c>
      <c r="P28" s="168" t="e">
        <f t="shared" ca="1" si="5"/>
        <v>#N/A</v>
      </c>
      <c r="Q28" s="168" t="e">
        <f t="shared" ca="1" si="5"/>
        <v>#N/A</v>
      </c>
      <c r="R28" s="168" t="e">
        <f t="shared" ca="1" si="5"/>
        <v>#N/A</v>
      </c>
    </row>
    <row r="29" spans="1:18" x14ac:dyDescent="0.2">
      <c r="A29" s="166" t="s">
        <v>31</v>
      </c>
      <c r="B29" s="164"/>
      <c r="C29" s="164"/>
      <c r="D29" s="165"/>
      <c r="E29" s="168">
        <f t="shared" ref="E29:R29" ca="1" si="6">IF(E$20&gt;TODAY(), #N/A, IF(E$33&gt;0, SprintStart+((E$25*E$19)/E$33)-1, SprintStart))</f>
        <v>42111</v>
      </c>
      <c r="F29" s="168" t="e">
        <f t="shared" ca="1" si="6"/>
        <v>#N/A</v>
      </c>
      <c r="G29" s="168" t="e">
        <f t="shared" ca="1" si="6"/>
        <v>#N/A</v>
      </c>
      <c r="H29" s="168" t="e">
        <f t="shared" ca="1" si="6"/>
        <v>#N/A</v>
      </c>
      <c r="I29" s="168" t="e">
        <f t="shared" ca="1" si="6"/>
        <v>#N/A</v>
      </c>
      <c r="J29" s="168" t="e">
        <f t="shared" ca="1" si="6"/>
        <v>#N/A</v>
      </c>
      <c r="K29" s="168" t="e">
        <f t="shared" ca="1" si="6"/>
        <v>#N/A</v>
      </c>
      <c r="L29" s="168" t="e">
        <f t="shared" ca="1" si="6"/>
        <v>#N/A</v>
      </c>
      <c r="M29" s="168" t="e">
        <f t="shared" ca="1" si="6"/>
        <v>#N/A</v>
      </c>
      <c r="N29" s="168" t="e">
        <f t="shared" ca="1" si="6"/>
        <v>#N/A</v>
      </c>
      <c r="O29" s="168" t="e">
        <f t="shared" ca="1" si="6"/>
        <v>#N/A</v>
      </c>
      <c r="P29" s="168" t="e">
        <f t="shared" ca="1" si="6"/>
        <v>#N/A</v>
      </c>
      <c r="Q29" s="168" t="e">
        <f t="shared" ca="1" si="6"/>
        <v>#N/A</v>
      </c>
      <c r="R29" s="168" t="e">
        <f t="shared" ca="1" si="6"/>
        <v>#N/A</v>
      </c>
    </row>
    <row r="30" spans="1:18" x14ac:dyDescent="0.2">
      <c r="A30" s="166"/>
      <c r="B30" s="164"/>
      <c r="C30" s="164"/>
      <c r="D30" s="165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</row>
    <row r="31" spans="1:18" x14ac:dyDescent="0.2">
      <c r="A31" s="166" t="s">
        <v>27</v>
      </c>
      <c r="B31" s="164"/>
      <c r="C31" s="164"/>
      <c r="D31" s="165"/>
      <c r="E31" s="164">
        <f t="shared" ref="E31:R31" ca="1" si="7">IF(E$20&gt;TODAY(), #N/A, SUMIF(INDEX(Burndown,,(E$19-1)*BurndownColumns+StatusColumn), "=Pending",INDEX(Burndown,,(E$19-1)*BurndownColumns+HoursLeftColumn)))</f>
        <v>37</v>
      </c>
      <c r="F31" s="164" t="e">
        <f t="shared" ca="1" si="7"/>
        <v>#N/A</v>
      </c>
      <c r="G31" s="164" t="e">
        <f t="shared" ca="1" si="7"/>
        <v>#N/A</v>
      </c>
      <c r="H31" s="164" t="e">
        <f t="shared" ca="1" si="7"/>
        <v>#N/A</v>
      </c>
      <c r="I31" s="164" t="e">
        <f t="shared" ca="1" si="7"/>
        <v>#N/A</v>
      </c>
      <c r="J31" s="164" t="e">
        <f t="shared" ca="1" si="7"/>
        <v>#N/A</v>
      </c>
      <c r="K31" s="164" t="e">
        <f t="shared" ca="1" si="7"/>
        <v>#N/A</v>
      </c>
      <c r="L31" s="164" t="e">
        <f t="shared" ca="1" si="7"/>
        <v>#N/A</v>
      </c>
      <c r="M31" s="164" t="e">
        <f t="shared" ca="1" si="7"/>
        <v>#N/A</v>
      </c>
      <c r="N31" s="164" t="e">
        <f t="shared" ca="1" si="7"/>
        <v>#N/A</v>
      </c>
      <c r="O31" s="164" t="e">
        <f t="shared" ca="1" si="7"/>
        <v>#N/A</v>
      </c>
      <c r="P31" s="164" t="e">
        <f t="shared" ca="1" si="7"/>
        <v>#N/A</v>
      </c>
      <c r="Q31" s="164" t="e">
        <f t="shared" ca="1" si="7"/>
        <v>#N/A</v>
      </c>
      <c r="R31" s="164" t="e">
        <f t="shared" ca="1" si="7"/>
        <v>#N/A</v>
      </c>
    </row>
    <row r="32" spans="1:18" x14ac:dyDescent="0.2">
      <c r="A32" s="166" t="s">
        <v>28</v>
      </c>
      <c r="B32" s="164"/>
      <c r="C32" s="164"/>
      <c r="D32" s="165"/>
      <c r="E32" s="169">
        <f t="shared" ref="E32:R32" ca="1" si="8">E$22-E$31+E$24-E$33</f>
        <v>3</v>
      </c>
      <c r="F32" s="169" t="e">
        <f t="shared" ca="1" si="8"/>
        <v>#N/A</v>
      </c>
      <c r="G32" s="169" t="e">
        <f t="shared" ca="1" si="8"/>
        <v>#N/A</v>
      </c>
      <c r="H32" s="169" t="e">
        <f t="shared" ca="1" si="8"/>
        <v>#N/A</v>
      </c>
      <c r="I32" s="169" t="e">
        <f t="shared" ca="1" si="8"/>
        <v>#N/A</v>
      </c>
      <c r="J32" s="169" t="e">
        <f t="shared" ca="1" si="8"/>
        <v>#N/A</v>
      </c>
      <c r="K32" s="169" t="e">
        <f t="shared" ca="1" si="8"/>
        <v>#N/A</v>
      </c>
      <c r="L32" s="169" t="e">
        <f t="shared" ca="1" si="8"/>
        <v>#N/A</v>
      </c>
      <c r="M32" s="169" t="e">
        <f t="shared" ca="1" si="8"/>
        <v>#N/A</v>
      </c>
      <c r="N32" s="169" t="e">
        <f t="shared" ca="1" si="8"/>
        <v>#N/A</v>
      </c>
      <c r="O32" s="169" t="e">
        <f t="shared" ca="1" si="8"/>
        <v>#N/A</v>
      </c>
      <c r="P32" s="169" t="e">
        <f t="shared" ca="1" si="8"/>
        <v>#N/A</v>
      </c>
      <c r="Q32" s="169" t="e">
        <f t="shared" ca="1" si="8"/>
        <v>#N/A</v>
      </c>
      <c r="R32" s="169" t="e">
        <f t="shared" ca="1" si="8"/>
        <v>#N/A</v>
      </c>
    </row>
    <row r="33" spans="1:34" x14ac:dyDescent="0.2">
      <c r="A33" s="166" t="s">
        <v>29</v>
      </c>
      <c r="B33" s="164"/>
      <c r="C33" s="164"/>
      <c r="D33" s="165"/>
      <c r="E33" s="164">
        <f t="shared" ref="E33:R33" ca="1" si="9">IF(E$20&gt;TODAY(), #N/A, SUMIF(INDEX(Burndown,,(E$19-1)*BurndownColumns+StatusColumn), "=Complete",TotalEffort))</f>
        <v>0</v>
      </c>
      <c r="F33" s="164" t="e">
        <f t="shared" ca="1" si="9"/>
        <v>#N/A</v>
      </c>
      <c r="G33" s="164" t="e">
        <f t="shared" ca="1" si="9"/>
        <v>#N/A</v>
      </c>
      <c r="H33" s="164" t="e">
        <f t="shared" ca="1" si="9"/>
        <v>#N/A</v>
      </c>
      <c r="I33" s="164" t="e">
        <f t="shared" ca="1" si="9"/>
        <v>#N/A</v>
      </c>
      <c r="J33" s="164" t="e">
        <f t="shared" ca="1" si="9"/>
        <v>#N/A</v>
      </c>
      <c r="K33" s="164" t="e">
        <f t="shared" ca="1" si="9"/>
        <v>#N/A</v>
      </c>
      <c r="L33" s="164" t="e">
        <f t="shared" ca="1" si="9"/>
        <v>#N/A</v>
      </c>
      <c r="M33" s="164" t="e">
        <f t="shared" ca="1" si="9"/>
        <v>#N/A</v>
      </c>
      <c r="N33" s="164" t="e">
        <f t="shared" ca="1" si="9"/>
        <v>#N/A</v>
      </c>
      <c r="O33" s="164" t="e">
        <f t="shared" ca="1" si="9"/>
        <v>#N/A</v>
      </c>
      <c r="P33" s="164" t="e">
        <f t="shared" ca="1" si="9"/>
        <v>#N/A</v>
      </c>
      <c r="Q33" s="164" t="e">
        <f t="shared" ca="1" si="9"/>
        <v>#N/A</v>
      </c>
      <c r="R33" s="164" t="e">
        <f t="shared" ca="1" si="9"/>
        <v>#N/A</v>
      </c>
    </row>
    <row r="34" spans="1:34" x14ac:dyDescent="0.2">
      <c r="A34" s="166"/>
      <c r="B34" s="164"/>
      <c r="C34" s="164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</row>
    <row r="35" spans="1:34" x14ac:dyDescent="0.2">
      <c r="A35" s="166" t="s">
        <v>10</v>
      </c>
      <c r="B35" s="164"/>
      <c r="C35" s="164"/>
      <c r="D35" s="165"/>
      <c r="E35" s="164">
        <f t="shared" ref="E35:R35" ca="1" si="10">IF(E20&gt;TODAY(), #N/A, COUNTIF(INDEX(Burndown,,(E19-1)*BurndownColumns+StatusColumn), "=Pending"))</f>
        <v>57</v>
      </c>
      <c r="F35" s="164" t="e">
        <f t="shared" ca="1" si="10"/>
        <v>#N/A</v>
      </c>
      <c r="G35" s="164" t="e">
        <f t="shared" ca="1" si="10"/>
        <v>#N/A</v>
      </c>
      <c r="H35" s="164" t="e">
        <f t="shared" ca="1" si="10"/>
        <v>#N/A</v>
      </c>
      <c r="I35" s="164" t="e">
        <f t="shared" ca="1" si="10"/>
        <v>#N/A</v>
      </c>
      <c r="J35" s="164" t="e">
        <f t="shared" ca="1" si="10"/>
        <v>#N/A</v>
      </c>
      <c r="K35" s="164" t="e">
        <f t="shared" ca="1" si="10"/>
        <v>#N/A</v>
      </c>
      <c r="L35" s="164" t="e">
        <f t="shared" ca="1" si="10"/>
        <v>#N/A</v>
      </c>
      <c r="M35" s="164" t="e">
        <f t="shared" ca="1" si="10"/>
        <v>#N/A</v>
      </c>
      <c r="N35" s="164" t="e">
        <f t="shared" ca="1" si="10"/>
        <v>#N/A</v>
      </c>
      <c r="O35" s="164" t="e">
        <f t="shared" ca="1" si="10"/>
        <v>#N/A</v>
      </c>
      <c r="P35" s="164" t="e">
        <f t="shared" ca="1" si="10"/>
        <v>#N/A</v>
      </c>
      <c r="Q35" s="164" t="e">
        <f t="shared" ca="1" si="10"/>
        <v>#N/A</v>
      </c>
      <c r="R35" s="164" t="e">
        <f t="shared" ca="1" si="10"/>
        <v>#N/A</v>
      </c>
    </row>
    <row r="36" spans="1:34" x14ac:dyDescent="0.2">
      <c r="A36" s="166" t="s">
        <v>6</v>
      </c>
      <c r="B36" s="164"/>
      <c r="C36" s="164"/>
      <c r="D36" s="165"/>
      <c r="E36" s="164">
        <f t="shared" ref="E36:R36" ca="1" si="11">IF(E20&gt;TODAY(), #N/A, COUNTIF(INDEX(Burndown,,(E19-1)*BurndownColumns+StatusColumn), "=In Progress"))</f>
        <v>1</v>
      </c>
      <c r="F36" s="164" t="e">
        <f t="shared" ca="1" si="11"/>
        <v>#N/A</v>
      </c>
      <c r="G36" s="164" t="e">
        <f t="shared" ca="1" si="11"/>
        <v>#N/A</v>
      </c>
      <c r="H36" s="164" t="e">
        <f t="shared" ca="1" si="11"/>
        <v>#N/A</v>
      </c>
      <c r="I36" s="164" t="e">
        <f t="shared" ca="1" si="11"/>
        <v>#N/A</v>
      </c>
      <c r="J36" s="164" t="e">
        <f t="shared" ca="1" si="11"/>
        <v>#N/A</v>
      </c>
      <c r="K36" s="164" t="e">
        <f t="shared" ca="1" si="11"/>
        <v>#N/A</v>
      </c>
      <c r="L36" s="164" t="e">
        <f t="shared" ca="1" si="11"/>
        <v>#N/A</v>
      </c>
      <c r="M36" s="164" t="e">
        <f t="shared" ca="1" si="11"/>
        <v>#N/A</v>
      </c>
      <c r="N36" s="164" t="e">
        <f t="shared" ca="1" si="11"/>
        <v>#N/A</v>
      </c>
      <c r="O36" s="164" t="e">
        <f t="shared" ca="1" si="11"/>
        <v>#N/A</v>
      </c>
      <c r="P36" s="164" t="e">
        <f t="shared" ca="1" si="11"/>
        <v>#N/A</v>
      </c>
      <c r="Q36" s="164" t="e">
        <f t="shared" ca="1" si="11"/>
        <v>#N/A</v>
      </c>
      <c r="R36" s="164" t="e">
        <f t="shared" ca="1" si="11"/>
        <v>#N/A</v>
      </c>
    </row>
    <row r="37" spans="1:34" x14ac:dyDescent="0.2">
      <c r="A37" s="166" t="s">
        <v>7</v>
      </c>
      <c r="B37" s="164"/>
      <c r="C37" s="164"/>
      <c r="D37" s="165"/>
      <c r="E37" s="164">
        <f t="shared" ref="E37:R37" ca="1" si="12">IF(E20&gt;TODAY(), #N/A, COUNTIF(INDEX(Burndown,,(E19-1)*BurndownColumns+StatusColumn), "=Complete"))</f>
        <v>0</v>
      </c>
      <c r="F37" s="164" t="e">
        <f t="shared" ca="1" si="12"/>
        <v>#N/A</v>
      </c>
      <c r="G37" s="164" t="e">
        <f t="shared" ca="1" si="12"/>
        <v>#N/A</v>
      </c>
      <c r="H37" s="164" t="e">
        <f t="shared" ca="1" si="12"/>
        <v>#N/A</v>
      </c>
      <c r="I37" s="164" t="e">
        <f t="shared" ca="1" si="12"/>
        <v>#N/A</v>
      </c>
      <c r="J37" s="164" t="e">
        <f t="shared" ca="1" si="12"/>
        <v>#N/A</v>
      </c>
      <c r="K37" s="164" t="e">
        <f t="shared" ca="1" si="12"/>
        <v>#N/A</v>
      </c>
      <c r="L37" s="164" t="e">
        <f t="shared" ca="1" si="12"/>
        <v>#N/A</v>
      </c>
      <c r="M37" s="164" t="e">
        <f t="shared" ca="1" si="12"/>
        <v>#N/A</v>
      </c>
      <c r="N37" s="164" t="e">
        <f t="shared" ca="1" si="12"/>
        <v>#N/A</v>
      </c>
      <c r="O37" s="164" t="e">
        <f t="shared" ca="1" si="12"/>
        <v>#N/A</v>
      </c>
      <c r="P37" s="164" t="e">
        <f t="shared" ca="1" si="12"/>
        <v>#N/A</v>
      </c>
      <c r="Q37" s="164" t="e">
        <f t="shared" ca="1" si="12"/>
        <v>#N/A</v>
      </c>
      <c r="R37" s="164" t="e">
        <f t="shared" ca="1" si="12"/>
        <v>#N/A</v>
      </c>
    </row>
    <row r="38" spans="1:34" x14ac:dyDescent="0.2">
      <c r="A38" s="149"/>
      <c r="B38" s="149"/>
      <c r="C38" s="149"/>
      <c r="D38" s="149"/>
      <c r="E38" s="149"/>
      <c r="F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 x14ac:dyDescent="0.2">
      <c r="A39" s="166" t="s">
        <v>25</v>
      </c>
      <c r="B39" s="164"/>
      <c r="C39" s="164"/>
      <c r="D39" s="164"/>
      <c r="E39" s="161"/>
      <c r="F39" s="164"/>
      <c r="G39" s="166" t="s">
        <v>24</v>
      </c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3.5" customHeight="1" x14ac:dyDescent="0.2">
      <c r="A40" s="166"/>
      <c r="B40" s="164" t="s">
        <v>26</v>
      </c>
      <c r="C40" s="164"/>
      <c r="D40" s="164"/>
      <c r="E40" s="164">
        <v>0</v>
      </c>
      <c r="F40" s="164"/>
      <c r="G40" s="164" t="s">
        <v>87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3.5" customHeight="1" x14ac:dyDescent="0.2">
      <c r="A41" s="166"/>
      <c r="B41" s="164" t="s">
        <v>88</v>
      </c>
      <c r="C41" s="164"/>
      <c r="D41" s="164"/>
      <c r="E41" s="164">
        <v>0</v>
      </c>
      <c r="F41" s="164"/>
      <c r="G41" s="164" t="s">
        <v>89</v>
      </c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 x14ac:dyDescent="0.2">
      <c r="A42" s="166"/>
      <c r="B42" s="164"/>
      <c r="C42" s="164"/>
      <c r="D42" s="164"/>
      <c r="E42" s="161"/>
      <c r="F42" s="164"/>
      <c r="G42" s="170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 x14ac:dyDescent="0.2">
      <c r="A43" s="166" t="s">
        <v>17</v>
      </c>
      <c r="B43" s="164"/>
      <c r="C43" s="164"/>
      <c r="D43" s="164"/>
      <c r="E43" s="161"/>
      <c r="F43" s="164"/>
      <c r="G43" s="164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 x14ac:dyDescent="0.2">
      <c r="A44" s="164"/>
      <c r="B44" s="164" t="s">
        <v>15</v>
      </c>
      <c r="C44" s="164"/>
      <c r="D44" s="164"/>
      <c r="E44" s="164">
        <v>3</v>
      </c>
      <c r="F44" s="164"/>
      <c r="G44" s="164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 x14ac:dyDescent="0.2">
      <c r="A45" s="164"/>
      <c r="B45" s="164" t="s">
        <v>19</v>
      </c>
      <c r="C45" s="164"/>
      <c r="D45" s="164"/>
      <c r="E45" s="164">
        <v>1</v>
      </c>
      <c r="F45" s="164"/>
      <c r="G45" s="170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 x14ac:dyDescent="0.2">
      <c r="A46" s="164"/>
      <c r="B46" s="164" t="s">
        <v>18</v>
      </c>
      <c r="C46" s="164"/>
      <c r="D46" s="164"/>
      <c r="E46" s="164">
        <v>2</v>
      </c>
      <c r="F46" s="170"/>
      <c r="G46" s="170"/>
    </row>
    <row r="47" spans="1:34" x14ac:dyDescent="0.2">
      <c r="A47" s="164"/>
      <c r="B47" s="164" t="s">
        <v>16</v>
      </c>
      <c r="C47" s="164"/>
      <c r="D47" s="164"/>
      <c r="E47" s="164">
        <v>3</v>
      </c>
      <c r="F47" s="170"/>
      <c r="G47" s="170"/>
    </row>
    <row r="48" spans="1:34" x14ac:dyDescent="0.2">
      <c r="A48" s="149"/>
      <c r="C48" s="149"/>
      <c r="D48" s="149"/>
    </row>
    <row r="49" spans="1:1" x14ac:dyDescent="0.2">
      <c r="A49" s="150"/>
    </row>
    <row r="50" spans="1:1" x14ac:dyDescent="0.2">
      <c r="A50" s="149"/>
    </row>
    <row r="51" spans="1:1" x14ac:dyDescent="0.2">
      <c r="A51" s="149"/>
    </row>
  </sheetData>
  <phoneticPr fontId="2" type="noConversion"/>
  <conditionalFormatting sqref="D19:R21">
    <cfRule type="expression" dxfId="34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10" activePane="bottomRight" state="frozen"/>
      <selection activeCell="B20" sqref="B20"/>
      <selection pane="topRight" activeCell="B20" sqref="B20"/>
      <selection pane="bottomLeft" activeCell="B20" sqref="B20"/>
      <selection pane="bottomRight" activeCell="E32" sqref="E3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ht="13.5" thickBot="1" x14ac:dyDescent="0.25">
      <c r="B2" s="45" t="s">
        <v>44</v>
      </c>
      <c r="C2" s="46"/>
      <c r="D2" s="47" t="str">
        <f ca="1">TEXT(E2,"ddd")</f>
        <v>Fri</v>
      </c>
      <c r="E2" s="48">
        <f ca="1">TODAY()</f>
        <v>42111</v>
      </c>
    </row>
    <row r="3" spans="2:28" ht="13.5" thickBot="1" x14ac:dyDescent="0.25">
      <c r="B3" s="49" t="s">
        <v>43</v>
      </c>
      <c r="C3" s="50"/>
      <c r="D3" s="51" t="str">
        <f ca="1">TEXT(E3,"ddd")</f>
        <v>Fri</v>
      </c>
      <c r="E3" s="48">
        <f ca="1">TODAY()</f>
        <v>42111</v>
      </c>
    </row>
    <row r="4" spans="2:28" ht="13.5" thickBot="1" x14ac:dyDescent="0.25">
      <c r="D4" s="43"/>
      <c r="E4" s="52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</row>
    <row r="5" spans="2:28" ht="15.75" thickBot="1" x14ac:dyDescent="0.25">
      <c r="B5" s="193" t="s">
        <v>47</v>
      </c>
      <c r="C5" s="194"/>
      <c r="D5" s="194"/>
      <c r="E5" s="194"/>
      <c r="F5" s="194"/>
      <c r="G5" s="195"/>
      <c r="I5" s="54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7"/>
      <c r="X5" s="56"/>
      <c r="Y5" s="56"/>
      <c r="Z5" s="56"/>
      <c r="AA5" s="56"/>
      <c r="AB5" s="58"/>
    </row>
    <row r="6" spans="2:28" ht="13.5" thickBot="1" x14ac:dyDescent="0.25">
      <c r="B6" s="59" t="s">
        <v>55</v>
      </c>
      <c r="C6" s="60">
        <v>8</v>
      </c>
      <c r="D6" s="61"/>
      <c r="E6" s="62" t="s">
        <v>56</v>
      </c>
      <c r="F6" s="63">
        <v>14</v>
      </c>
      <c r="G6" s="64"/>
      <c r="I6" s="65">
        <f ca="1">IF(D3="Mon",E3-0,IF(D3="Tue",E3-1,IF(D3="Wed",E3-2,IF(D3="Thu",E3-3,IF(D3="Fri",E3-4,IF(D3="Sat",E3-5,IF(D3="Sun",E3-6,"False")))))))</f>
        <v>42107</v>
      </c>
      <c r="J6" s="66">
        <f t="shared" ref="J6:O6" ca="1" si="0">I6+1</f>
        <v>42108</v>
      </c>
      <c r="K6" s="66">
        <f t="shared" ca="1" si="0"/>
        <v>42109</v>
      </c>
      <c r="L6" s="66">
        <f t="shared" ca="1" si="0"/>
        <v>42110</v>
      </c>
      <c r="M6" s="66">
        <f t="shared" ca="1" si="0"/>
        <v>42111</v>
      </c>
      <c r="N6" s="67">
        <f t="shared" ca="1" si="0"/>
        <v>42112</v>
      </c>
      <c r="O6" s="67">
        <f t="shared" ca="1" si="0"/>
        <v>42113</v>
      </c>
      <c r="P6" s="68">
        <f ca="1">I6+7</f>
        <v>42114</v>
      </c>
      <c r="Q6" s="66">
        <f t="shared" ref="Q6:V6" ca="1" si="1">P6+1</f>
        <v>42115</v>
      </c>
      <c r="R6" s="66">
        <f t="shared" ca="1" si="1"/>
        <v>42116</v>
      </c>
      <c r="S6" s="66">
        <f t="shared" ca="1" si="1"/>
        <v>42117</v>
      </c>
      <c r="T6" s="66">
        <f t="shared" ca="1" si="1"/>
        <v>42118</v>
      </c>
      <c r="U6" s="67">
        <f t="shared" ca="1" si="1"/>
        <v>42119</v>
      </c>
      <c r="V6" s="67">
        <f t="shared" ca="1" si="1"/>
        <v>42120</v>
      </c>
      <c r="W6" s="196"/>
      <c r="X6" s="197"/>
      <c r="Y6" s="197"/>
      <c r="Z6" s="197"/>
      <c r="AA6" s="197"/>
      <c r="AB6" s="198"/>
    </row>
    <row r="7" spans="2:28" ht="29.25" customHeight="1" thickBot="1" x14ac:dyDescent="0.25">
      <c r="B7" s="69"/>
      <c r="C7" s="70"/>
      <c r="D7" s="61"/>
      <c r="E7" s="71" t="s">
        <v>45</v>
      </c>
      <c r="F7" s="71" t="s">
        <v>53</v>
      </c>
      <c r="G7" s="72" t="s">
        <v>46</v>
      </c>
      <c r="I7" s="73" t="s">
        <v>32</v>
      </c>
      <c r="J7" s="74" t="s">
        <v>34</v>
      </c>
      <c r="K7" s="74" t="s">
        <v>35</v>
      </c>
      <c r="L7" s="74" t="s">
        <v>34</v>
      </c>
      <c r="M7" s="74" t="s">
        <v>36</v>
      </c>
      <c r="N7" s="75" t="s">
        <v>33</v>
      </c>
      <c r="O7" s="76" t="s">
        <v>33</v>
      </c>
      <c r="P7" s="73" t="s">
        <v>32</v>
      </c>
      <c r="Q7" s="74" t="s">
        <v>34</v>
      </c>
      <c r="R7" s="74" t="s">
        <v>35</v>
      </c>
      <c r="S7" s="74" t="s">
        <v>34</v>
      </c>
      <c r="T7" s="74" t="s">
        <v>36</v>
      </c>
      <c r="U7" s="75" t="s">
        <v>33</v>
      </c>
      <c r="V7" s="76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7" t="s">
        <v>37</v>
      </c>
      <c r="C8" s="78">
        <f>SUM(G8:G25)</f>
        <v>0</v>
      </c>
      <c r="D8" s="79"/>
      <c r="E8" s="80"/>
      <c r="F8" s="81">
        <v>1</v>
      </c>
      <c r="G8" s="82">
        <f>SUMIF(Sprint!$F$4:$F$1854,E8,Sprint!$AX$4:$AX$1854)</f>
        <v>0</v>
      </c>
      <c r="H8" s="83"/>
      <c r="I8" s="89">
        <f t="shared" ref="I8:J18" ca="1" si="2">IF(I$6&lt;$E$3,0,IF(ISBLANK($E8),0,IF(I$6&lt;$E$2,0,1)))</f>
        <v>0</v>
      </c>
      <c r="J8" s="90">
        <f t="shared" ca="1" si="2"/>
        <v>0</v>
      </c>
      <c r="K8" s="90">
        <f t="shared" ref="K8:M23" ca="1" si="3">IF(K$6&lt;$E$3,0,IF(ISBLANK($E8),0,IF(K$6&lt;$E$2,0,1)))</f>
        <v>0</v>
      </c>
      <c r="L8" s="90">
        <f t="shared" ca="1" si="3"/>
        <v>0</v>
      </c>
      <c r="M8" s="90">
        <f t="shared" ca="1" si="3"/>
        <v>0</v>
      </c>
      <c r="N8" s="84"/>
      <c r="O8" s="85"/>
      <c r="P8" s="89">
        <f t="shared" ref="P8:T18" ca="1" si="4">IF(P$6&lt;$E$3,0,IF(ISBLANK($E8),0,IF(P$6&lt;$E$2,0,1)))</f>
        <v>0</v>
      </c>
      <c r="Q8" s="90">
        <f t="shared" ca="1" si="4"/>
        <v>0</v>
      </c>
      <c r="R8" s="90">
        <f t="shared" ca="1" si="4"/>
        <v>0</v>
      </c>
      <c r="S8" s="90">
        <f t="shared" ca="1" si="4"/>
        <v>0</v>
      </c>
      <c r="T8" s="90">
        <f t="shared" ca="1" si="4"/>
        <v>0</v>
      </c>
      <c r="U8" s="84"/>
      <c r="V8" s="85"/>
      <c r="W8" s="199">
        <f t="shared" ref="W8:W25" ca="1" si="5">IF(E8="unassigned",0,(COUNTIF(I8:V8,1)*$C$6)*F8)</f>
        <v>0</v>
      </c>
      <c r="X8" s="200"/>
      <c r="Y8" s="200"/>
      <c r="Z8" s="200"/>
      <c r="AA8" s="200"/>
      <c r="AB8" s="201"/>
    </row>
    <row r="9" spans="2:28" ht="13.5" thickBot="1" x14ac:dyDescent="0.25">
      <c r="B9" s="86" t="s">
        <v>38</v>
      </c>
      <c r="C9" s="78">
        <f ca="1">SUM(W8:AB25)</f>
        <v>0</v>
      </c>
      <c r="D9" s="87"/>
      <c r="E9" s="18"/>
      <c r="F9" s="88">
        <v>1</v>
      </c>
      <c r="G9" s="82">
        <f>SUMIF(Sprint!$F$4:$F$1854,E9,Sprint!$AX$4:$AX$1854)</f>
        <v>0</v>
      </c>
      <c r="H9" s="83"/>
      <c r="I9" s="89">
        <f t="shared" ca="1" si="2"/>
        <v>0</v>
      </c>
      <c r="J9" s="90">
        <f t="shared" ca="1" si="2"/>
        <v>0</v>
      </c>
      <c r="K9" s="90">
        <f t="shared" ca="1" si="3"/>
        <v>0</v>
      </c>
      <c r="L9" s="90">
        <f t="shared" ca="1" si="3"/>
        <v>0</v>
      </c>
      <c r="M9" s="90">
        <f t="shared" ca="1" si="3"/>
        <v>0</v>
      </c>
      <c r="N9" s="91"/>
      <c r="O9" s="92"/>
      <c r="P9" s="89">
        <f t="shared" ca="1" si="4"/>
        <v>0</v>
      </c>
      <c r="Q9" s="90">
        <f t="shared" ca="1" si="4"/>
        <v>0</v>
      </c>
      <c r="R9" s="90">
        <f t="shared" ca="1" si="4"/>
        <v>0</v>
      </c>
      <c r="S9" s="90">
        <f t="shared" ca="1" si="4"/>
        <v>0</v>
      </c>
      <c r="T9" s="90">
        <f t="shared" ca="1" si="4"/>
        <v>0</v>
      </c>
      <c r="U9" s="91"/>
      <c r="V9" s="92"/>
      <c r="W9" s="199">
        <f t="shared" ca="1" si="5"/>
        <v>0</v>
      </c>
      <c r="X9" s="200"/>
      <c r="Y9" s="200"/>
      <c r="Z9" s="200"/>
      <c r="AA9" s="200"/>
      <c r="AB9" s="201"/>
    </row>
    <row r="10" spans="2:28" ht="13.5" thickBot="1" x14ac:dyDescent="0.25">
      <c r="B10" s="93" t="s">
        <v>39</v>
      </c>
      <c r="C10" s="94">
        <f ca="1">C8-C9</f>
        <v>0</v>
      </c>
      <c r="D10" s="61"/>
      <c r="E10" s="18"/>
      <c r="F10" s="88">
        <v>0.3</v>
      </c>
      <c r="G10" s="82">
        <f>SUMIF(Sprint!$F$4:$F$1854,E10,Sprint!$AX$4:$AX$1854)</f>
        <v>0</v>
      </c>
      <c r="H10" s="83"/>
      <c r="I10" s="89">
        <f t="shared" ca="1" si="2"/>
        <v>0</v>
      </c>
      <c r="J10" s="90">
        <f t="shared" ca="1" si="2"/>
        <v>0</v>
      </c>
      <c r="K10" s="90">
        <f t="shared" ca="1" si="3"/>
        <v>0</v>
      </c>
      <c r="L10" s="90">
        <f t="shared" ca="1" si="3"/>
        <v>0</v>
      </c>
      <c r="M10" s="90">
        <f t="shared" ca="1" si="3"/>
        <v>0</v>
      </c>
      <c r="N10" s="91"/>
      <c r="O10" s="92"/>
      <c r="P10" s="89">
        <f t="shared" ca="1" si="4"/>
        <v>0</v>
      </c>
      <c r="Q10" s="90">
        <f t="shared" ca="1" si="4"/>
        <v>0</v>
      </c>
      <c r="R10" s="90">
        <f t="shared" ca="1" si="4"/>
        <v>0</v>
      </c>
      <c r="S10" s="90">
        <f t="shared" ca="1" si="4"/>
        <v>0</v>
      </c>
      <c r="T10" s="90">
        <f t="shared" ca="1" si="4"/>
        <v>0</v>
      </c>
      <c r="U10" s="91"/>
      <c r="V10" s="92"/>
      <c r="W10" s="199">
        <f t="shared" ca="1" si="5"/>
        <v>0</v>
      </c>
      <c r="X10" s="200"/>
      <c r="Y10" s="200"/>
      <c r="Z10" s="200"/>
      <c r="AA10" s="200"/>
      <c r="AB10" s="201"/>
    </row>
    <row r="11" spans="2:28" ht="13.5" thickBot="1" x14ac:dyDescent="0.25">
      <c r="B11" s="95"/>
      <c r="D11" s="96"/>
      <c r="E11" s="18"/>
      <c r="F11" s="88">
        <v>1</v>
      </c>
      <c r="G11" s="82">
        <f>SUMIF(Sprint!$F$4:$F$1854,E11,Sprint!$AX$4:$AX$1854)</f>
        <v>0</v>
      </c>
      <c r="H11" s="83"/>
      <c r="I11" s="89">
        <f t="shared" ca="1" si="2"/>
        <v>0</v>
      </c>
      <c r="J11" s="90">
        <f t="shared" ca="1" si="2"/>
        <v>0</v>
      </c>
      <c r="K11" s="90">
        <f t="shared" ca="1" si="3"/>
        <v>0</v>
      </c>
      <c r="L11" s="90">
        <f t="shared" ca="1" si="3"/>
        <v>0</v>
      </c>
      <c r="M11" s="90">
        <f t="shared" ca="1" si="3"/>
        <v>0</v>
      </c>
      <c r="N11" s="91"/>
      <c r="O11" s="92"/>
      <c r="P11" s="89">
        <f t="shared" ca="1" si="4"/>
        <v>0</v>
      </c>
      <c r="Q11" s="90">
        <f t="shared" ca="1" si="4"/>
        <v>0</v>
      </c>
      <c r="R11" s="90">
        <f t="shared" ca="1" si="4"/>
        <v>0</v>
      </c>
      <c r="S11" s="90">
        <f t="shared" ca="1" si="4"/>
        <v>0</v>
      </c>
      <c r="T11" s="90">
        <f t="shared" ca="1" si="4"/>
        <v>0</v>
      </c>
      <c r="U11" s="91"/>
      <c r="V11" s="92"/>
      <c r="W11" s="199">
        <f t="shared" ca="1" si="5"/>
        <v>0</v>
      </c>
      <c r="X11" s="200"/>
      <c r="Y11" s="200"/>
      <c r="Z11" s="200"/>
      <c r="AA11" s="200"/>
      <c r="AB11" s="201"/>
    </row>
    <row r="12" spans="2:28" ht="13.5" thickBot="1" x14ac:dyDescent="0.25">
      <c r="B12" s="95"/>
      <c r="D12" s="96"/>
      <c r="E12" s="18"/>
      <c r="F12" s="88"/>
      <c r="G12" s="82">
        <f>SUMIF(Sprint!$F$4:$F$1854,E12,Sprint!$AX$4:$AX$1854)</f>
        <v>0</v>
      </c>
      <c r="H12" s="83"/>
      <c r="I12" s="89">
        <f t="shared" ca="1" si="2"/>
        <v>0</v>
      </c>
      <c r="J12" s="90">
        <f t="shared" ca="1" si="2"/>
        <v>0</v>
      </c>
      <c r="K12" s="90">
        <f t="shared" ca="1" si="3"/>
        <v>0</v>
      </c>
      <c r="L12" s="90">
        <f t="shared" ca="1" si="3"/>
        <v>0</v>
      </c>
      <c r="M12" s="90">
        <f t="shared" ca="1" si="3"/>
        <v>0</v>
      </c>
      <c r="N12" s="91"/>
      <c r="O12" s="92"/>
      <c r="P12" s="89">
        <f t="shared" ca="1" si="4"/>
        <v>0</v>
      </c>
      <c r="Q12" s="90">
        <f t="shared" ca="1" si="4"/>
        <v>0</v>
      </c>
      <c r="R12" s="90">
        <f t="shared" ca="1" si="4"/>
        <v>0</v>
      </c>
      <c r="S12" s="90">
        <f t="shared" ca="1" si="4"/>
        <v>0</v>
      </c>
      <c r="T12" s="90">
        <f t="shared" ca="1" si="4"/>
        <v>0</v>
      </c>
      <c r="U12" s="91"/>
      <c r="V12" s="92"/>
      <c r="W12" s="199">
        <f t="shared" ca="1" si="5"/>
        <v>0</v>
      </c>
      <c r="X12" s="200"/>
      <c r="Y12" s="200"/>
      <c r="Z12" s="200"/>
      <c r="AA12" s="200"/>
      <c r="AB12" s="201"/>
    </row>
    <row r="13" spans="2:28" ht="13.5" thickBot="1" x14ac:dyDescent="0.25">
      <c r="B13" s="95"/>
      <c r="D13" s="97"/>
      <c r="E13" s="18"/>
      <c r="F13" s="88"/>
      <c r="G13" s="82">
        <f>SUMIF(Sprint!$F$4:$F$1854,E13,Sprint!$AX$4:$AX$1854)</f>
        <v>0</v>
      </c>
      <c r="H13" s="83"/>
      <c r="I13" s="89">
        <f t="shared" ca="1" si="2"/>
        <v>0</v>
      </c>
      <c r="J13" s="90">
        <f t="shared" ca="1" si="2"/>
        <v>0</v>
      </c>
      <c r="K13" s="90">
        <f t="shared" ca="1" si="3"/>
        <v>0</v>
      </c>
      <c r="L13" s="90">
        <f t="shared" ca="1" si="3"/>
        <v>0</v>
      </c>
      <c r="M13" s="90">
        <f t="shared" ca="1" si="3"/>
        <v>0</v>
      </c>
      <c r="N13" s="91"/>
      <c r="O13" s="92"/>
      <c r="P13" s="89">
        <f t="shared" ca="1" si="4"/>
        <v>0</v>
      </c>
      <c r="Q13" s="90">
        <f t="shared" ca="1" si="4"/>
        <v>0</v>
      </c>
      <c r="R13" s="90">
        <f t="shared" ca="1" si="4"/>
        <v>0</v>
      </c>
      <c r="S13" s="90">
        <f t="shared" ca="1" si="4"/>
        <v>0</v>
      </c>
      <c r="T13" s="90">
        <f t="shared" ca="1" si="4"/>
        <v>0</v>
      </c>
      <c r="U13" s="91"/>
      <c r="V13" s="92"/>
      <c r="W13" s="199">
        <f t="shared" ca="1" si="5"/>
        <v>0</v>
      </c>
      <c r="X13" s="200"/>
      <c r="Y13" s="200"/>
      <c r="Z13" s="200"/>
      <c r="AA13" s="200"/>
      <c r="AB13" s="201"/>
    </row>
    <row r="14" spans="2:28" ht="13.5" thickBot="1" x14ac:dyDescent="0.25">
      <c r="B14" s="95"/>
      <c r="D14" s="61"/>
      <c r="E14" s="18"/>
      <c r="F14" s="88"/>
      <c r="G14" s="82">
        <f>SUMIF(Sprint!$F$4:$F$1854,E14,Sprint!$AX$4:$AX$1854)</f>
        <v>0</v>
      </c>
      <c r="H14" s="83"/>
      <c r="I14" s="89">
        <f t="shared" ca="1" si="2"/>
        <v>0</v>
      </c>
      <c r="J14" s="90">
        <f t="shared" ca="1" si="2"/>
        <v>0</v>
      </c>
      <c r="K14" s="90">
        <f t="shared" ca="1" si="3"/>
        <v>0</v>
      </c>
      <c r="L14" s="90">
        <f t="shared" ca="1" si="3"/>
        <v>0</v>
      </c>
      <c r="M14" s="90">
        <f t="shared" ca="1" si="3"/>
        <v>0</v>
      </c>
      <c r="N14" s="91"/>
      <c r="O14" s="92"/>
      <c r="P14" s="89">
        <f t="shared" ca="1" si="4"/>
        <v>0</v>
      </c>
      <c r="Q14" s="90">
        <f t="shared" ca="1" si="4"/>
        <v>0</v>
      </c>
      <c r="R14" s="90">
        <f t="shared" ca="1" si="4"/>
        <v>0</v>
      </c>
      <c r="S14" s="90">
        <f t="shared" ca="1" si="4"/>
        <v>0</v>
      </c>
      <c r="T14" s="90">
        <f t="shared" ca="1" si="4"/>
        <v>0</v>
      </c>
      <c r="U14" s="91"/>
      <c r="V14" s="92"/>
      <c r="W14" s="199">
        <f t="shared" ca="1" si="5"/>
        <v>0</v>
      </c>
      <c r="X14" s="200"/>
      <c r="Y14" s="200"/>
      <c r="Z14" s="200"/>
      <c r="AA14" s="200"/>
      <c r="AB14" s="201"/>
    </row>
    <row r="15" spans="2:28" ht="13.5" thickBot="1" x14ac:dyDescent="0.25">
      <c r="B15" s="95"/>
      <c r="D15" s="61"/>
      <c r="E15" s="18"/>
      <c r="F15" s="88"/>
      <c r="G15" s="82">
        <f>SUMIF(Sprint!$F$4:$F$1854,E15,Sprint!$AX$4:$AX$1854)</f>
        <v>0</v>
      </c>
      <c r="H15" s="83"/>
      <c r="I15" s="89">
        <f t="shared" ca="1" si="2"/>
        <v>0</v>
      </c>
      <c r="J15" s="90">
        <f t="shared" ca="1" si="2"/>
        <v>0</v>
      </c>
      <c r="K15" s="90">
        <f t="shared" ca="1" si="3"/>
        <v>0</v>
      </c>
      <c r="L15" s="90">
        <f t="shared" ca="1" si="3"/>
        <v>0</v>
      </c>
      <c r="M15" s="90">
        <f t="shared" ca="1" si="3"/>
        <v>0</v>
      </c>
      <c r="N15" s="91"/>
      <c r="O15" s="92"/>
      <c r="P15" s="89">
        <f t="shared" ca="1" si="4"/>
        <v>0</v>
      </c>
      <c r="Q15" s="90">
        <f t="shared" ca="1" si="4"/>
        <v>0</v>
      </c>
      <c r="R15" s="90">
        <f t="shared" ca="1" si="4"/>
        <v>0</v>
      </c>
      <c r="S15" s="90">
        <f t="shared" ca="1" si="4"/>
        <v>0</v>
      </c>
      <c r="T15" s="90">
        <f t="shared" ca="1" si="4"/>
        <v>0</v>
      </c>
      <c r="U15" s="91"/>
      <c r="V15" s="92"/>
      <c r="W15" s="199">
        <f t="shared" ca="1" si="5"/>
        <v>0</v>
      </c>
      <c r="X15" s="200"/>
      <c r="Y15" s="200"/>
      <c r="Z15" s="200"/>
      <c r="AA15" s="200"/>
      <c r="AB15" s="201"/>
    </row>
    <row r="16" spans="2:28" ht="13.5" thickBot="1" x14ac:dyDescent="0.25">
      <c r="B16" s="95"/>
      <c r="D16" s="97"/>
      <c r="E16" s="18"/>
      <c r="F16" s="88"/>
      <c r="G16" s="82">
        <f>SUMIF(Sprint!$F$4:$F$1854,E16,Sprint!$AX$4:$AX$1854)</f>
        <v>0</v>
      </c>
      <c r="H16" s="83"/>
      <c r="I16" s="89">
        <f t="shared" ca="1" si="2"/>
        <v>0</v>
      </c>
      <c r="J16" s="90">
        <f t="shared" ca="1" si="2"/>
        <v>0</v>
      </c>
      <c r="K16" s="90">
        <f t="shared" ca="1" si="3"/>
        <v>0</v>
      </c>
      <c r="L16" s="90">
        <f t="shared" ca="1" si="3"/>
        <v>0</v>
      </c>
      <c r="M16" s="90">
        <f t="shared" ca="1" si="3"/>
        <v>0</v>
      </c>
      <c r="N16" s="91"/>
      <c r="O16" s="92"/>
      <c r="P16" s="89">
        <f t="shared" ca="1" si="4"/>
        <v>0</v>
      </c>
      <c r="Q16" s="90">
        <f t="shared" ca="1" si="4"/>
        <v>0</v>
      </c>
      <c r="R16" s="90">
        <f t="shared" ca="1" si="4"/>
        <v>0</v>
      </c>
      <c r="S16" s="90">
        <f t="shared" ca="1" si="4"/>
        <v>0</v>
      </c>
      <c r="T16" s="90">
        <f t="shared" ca="1" si="4"/>
        <v>0</v>
      </c>
      <c r="U16" s="91"/>
      <c r="V16" s="92"/>
      <c r="W16" s="199">
        <f t="shared" ca="1" si="5"/>
        <v>0</v>
      </c>
      <c r="X16" s="200"/>
      <c r="Y16" s="200"/>
      <c r="Z16" s="200"/>
      <c r="AA16" s="200"/>
      <c r="AB16" s="201"/>
    </row>
    <row r="17" spans="2:28" ht="13.5" thickBot="1" x14ac:dyDescent="0.25">
      <c r="B17" s="95"/>
      <c r="D17" s="97"/>
      <c r="E17" s="18"/>
      <c r="F17" s="88"/>
      <c r="G17" s="82">
        <f>SUMIF(Sprint!$F$4:$F$1854,E17,Sprint!$AX$4:$AX$1854)</f>
        <v>0</v>
      </c>
      <c r="H17" s="98"/>
      <c r="I17" s="89">
        <f t="shared" ca="1" si="2"/>
        <v>0</v>
      </c>
      <c r="J17" s="90">
        <f t="shared" ca="1" si="2"/>
        <v>0</v>
      </c>
      <c r="K17" s="90">
        <f t="shared" ca="1" si="3"/>
        <v>0</v>
      </c>
      <c r="L17" s="90">
        <f t="shared" ca="1" si="3"/>
        <v>0</v>
      </c>
      <c r="M17" s="90">
        <f t="shared" ca="1" si="3"/>
        <v>0</v>
      </c>
      <c r="N17" s="91"/>
      <c r="O17" s="92"/>
      <c r="P17" s="89">
        <f t="shared" ca="1" si="4"/>
        <v>0</v>
      </c>
      <c r="Q17" s="90">
        <f t="shared" ca="1" si="4"/>
        <v>0</v>
      </c>
      <c r="R17" s="90">
        <f t="shared" ca="1" si="4"/>
        <v>0</v>
      </c>
      <c r="S17" s="90">
        <f t="shared" ca="1" si="4"/>
        <v>0</v>
      </c>
      <c r="T17" s="90">
        <f t="shared" ca="1" si="4"/>
        <v>0</v>
      </c>
      <c r="U17" s="91"/>
      <c r="V17" s="92"/>
      <c r="W17" s="199">
        <f t="shared" ca="1" si="5"/>
        <v>0</v>
      </c>
      <c r="X17" s="200"/>
      <c r="Y17" s="200"/>
      <c r="Z17" s="200"/>
      <c r="AA17" s="200"/>
      <c r="AB17" s="201"/>
    </row>
    <row r="18" spans="2:28" ht="13.5" thickBot="1" x14ac:dyDescent="0.25">
      <c r="B18" s="95"/>
      <c r="D18" s="97"/>
      <c r="E18" s="18"/>
      <c r="F18" s="88"/>
      <c r="G18" s="82">
        <f>SUMIF(Sprint!$F$4:$F$1854,E18,Sprint!$AX$4:$AX$1854)</f>
        <v>0</v>
      </c>
      <c r="H18" s="98"/>
      <c r="I18" s="89">
        <f t="shared" ca="1" si="2"/>
        <v>0</v>
      </c>
      <c r="J18" s="90">
        <f t="shared" ca="1" si="2"/>
        <v>0</v>
      </c>
      <c r="K18" s="90">
        <f t="shared" ca="1" si="3"/>
        <v>0</v>
      </c>
      <c r="L18" s="90">
        <f t="shared" ca="1" si="3"/>
        <v>0</v>
      </c>
      <c r="M18" s="90">
        <f t="shared" ca="1" si="3"/>
        <v>0</v>
      </c>
      <c r="N18" s="91"/>
      <c r="O18" s="92"/>
      <c r="P18" s="89">
        <f t="shared" ca="1" si="4"/>
        <v>0</v>
      </c>
      <c r="Q18" s="90">
        <f t="shared" ca="1" si="4"/>
        <v>0</v>
      </c>
      <c r="R18" s="90">
        <f t="shared" ca="1" si="4"/>
        <v>0</v>
      </c>
      <c r="S18" s="90">
        <f t="shared" ca="1" si="4"/>
        <v>0</v>
      </c>
      <c r="T18" s="90">
        <f t="shared" ca="1" si="4"/>
        <v>0</v>
      </c>
      <c r="U18" s="91"/>
      <c r="V18" s="92"/>
      <c r="W18" s="199">
        <f t="shared" ca="1" si="5"/>
        <v>0</v>
      </c>
      <c r="X18" s="200"/>
      <c r="Y18" s="200"/>
      <c r="Z18" s="200"/>
      <c r="AA18" s="200"/>
      <c r="AB18" s="201"/>
    </row>
    <row r="19" spans="2:28" ht="13.5" thickBot="1" x14ac:dyDescent="0.25">
      <c r="B19" s="95"/>
      <c r="D19" s="97"/>
      <c r="E19" s="18"/>
      <c r="F19" s="88"/>
      <c r="G19" s="82">
        <f>SUMIF(Sprint!$F$4:$F$1854,E19,Sprint!$AX$4:$AX$1854)</f>
        <v>0</v>
      </c>
      <c r="H19" s="98"/>
      <c r="I19" s="89">
        <f t="shared" ref="I19:I25" ca="1" si="6">IF(I$6&lt;$E$3,0,IF(ISBLANK($E19),0,IF(I$6&lt;$E$2,0,1)))</f>
        <v>0</v>
      </c>
      <c r="J19" s="90">
        <f t="shared" ref="J19:J25" ca="1" si="7">IF(J$6&lt;$E$3,0,IF(ISBLANK($E19),0,IF(J$6&lt;$E$2,0,1)))</f>
        <v>0</v>
      </c>
      <c r="K19" s="90">
        <f t="shared" ca="1" si="3"/>
        <v>0</v>
      </c>
      <c r="L19" s="90">
        <f t="shared" ca="1" si="3"/>
        <v>0</v>
      </c>
      <c r="M19" s="90">
        <f t="shared" ca="1" si="3"/>
        <v>0</v>
      </c>
      <c r="N19" s="91"/>
      <c r="O19" s="92"/>
      <c r="P19" s="89">
        <f t="shared" ref="P19:Q25" ca="1" si="8">IF(P$6&lt;$E$3,0,IF(ISBLANK($E19),0,IF(P$6&lt;$E$2,0,1)))</f>
        <v>0</v>
      </c>
      <c r="Q19" s="90">
        <f t="shared" ca="1" si="8"/>
        <v>0</v>
      </c>
      <c r="R19" s="90">
        <f t="shared" ref="R19:T23" ca="1" si="9">IF(R$6&lt;$E$3,0,IF(ISBLANK($E19),0,IF(R$6&lt;$E$2,0,1)))</f>
        <v>0</v>
      </c>
      <c r="S19" s="90">
        <f t="shared" ca="1" si="9"/>
        <v>0</v>
      </c>
      <c r="T19" s="90">
        <f t="shared" ca="1" si="9"/>
        <v>0</v>
      </c>
      <c r="U19" s="91"/>
      <c r="V19" s="92"/>
      <c r="W19" s="199">
        <f t="shared" ca="1" si="5"/>
        <v>0</v>
      </c>
      <c r="X19" s="200"/>
      <c r="Y19" s="200"/>
      <c r="Z19" s="200"/>
      <c r="AA19" s="200"/>
      <c r="AB19" s="201"/>
    </row>
    <row r="20" spans="2:28" ht="13.5" thickBot="1" x14ac:dyDescent="0.25">
      <c r="B20" s="95"/>
      <c r="D20" s="97"/>
      <c r="E20" s="18"/>
      <c r="F20" s="88"/>
      <c r="G20" s="82">
        <f>SUMIF(Sprint!$F$4:$F$1854,E20,Sprint!$AX$4:$AX$1854)</f>
        <v>0</v>
      </c>
      <c r="H20" s="98"/>
      <c r="I20" s="89">
        <f t="shared" ca="1" si="6"/>
        <v>0</v>
      </c>
      <c r="J20" s="90">
        <f t="shared" ca="1" si="7"/>
        <v>0</v>
      </c>
      <c r="K20" s="90">
        <f t="shared" ca="1" si="3"/>
        <v>0</v>
      </c>
      <c r="L20" s="90">
        <f t="shared" ca="1" si="3"/>
        <v>0</v>
      </c>
      <c r="M20" s="90">
        <f t="shared" ca="1" si="3"/>
        <v>0</v>
      </c>
      <c r="N20" s="91"/>
      <c r="O20" s="92"/>
      <c r="P20" s="89">
        <f t="shared" ca="1" si="8"/>
        <v>0</v>
      </c>
      <c r="Q20" s="90">
        <f t="shared" ca="1" si="8"/>
        <v>0</v>
      </c>
      <c r="R20" s="90">
        <f t="shared" ca="1" si="9"/>
        <v>0</v>
      </c>
      <c r="S20" s="90">
        <f t="shared" ca="1" si="9"/>
        <v>0</v>
      </c>
      <c r="T20" s="90">
        <f t="shared" ca="1" si="9"/>
        <v>0</v>
      </c>
      <c r="U20" s="91"/>
      <c r="V20" s="92"/>
      <c r="W20" s="199">
        <f t="shared" ca="1" si="5"/>
        <v>0</v>
      </c>
      <c r="X20" s="200"/>
      <c r="Y20" s="200"/>
      <c r="Z20" s="200"/>
      <c r="AA20" s="200"/>
      <c r="AB20" s="201"/>
    </row>
    <row r="21" spans="2:28" ht="13.5" thickBot="1" x14ac:dyDescent="0.25">
      <c r="B21" s="95"/>
      <c r="C21" s="99"/>
      <c r="D21" s="97"/>
      <c r="E21" s="18"/>
      <c r="F21" s="88"/>
      <c r="G21" s="82">
        <f>SUMIF(Sprint!$F$4:$F$1854,E21,Sprint!$AX$4:$AX$1854)</f>
        <v>0</v>
      </c>
      <c r="H21" s="98"/>
      <c r="I21" s="89">
        <f t="shared" ca="1" si="6"/>
        <v>0</v>
      </c>
      <c r="J21" s="90">
        <f t="shared" ca="1" si="7"/>
        <v>0</v>
      </c>
      <c r="K21" s="90">
        <f t="shared" ca="1" si="3"/>
        <v>0</v>
      </c>
      <c r="L21" s="90">
        <f t="shared" ca="1" si="3"/>
        <v>0</v>
      </c>
      <c r="M21" s="90">
        <f t="shared" ca="1" si="3"/>
        <v>0</v>
      </c>
      <c r="N21" s="91"/>
      <c r="O21" s="92"/>
      <c r="P21" s="89">
        <f t="shared" ca="1" si="8"/>
        <v>0</v>
      </c>
      <c r="Q21" s="90">
        <f t="shared" ca="1" si="8"/>
        <v>0</v>
      </c>
      <c r="R21" s="90">
        <f t="shared" ca="1" si="9"/>
        <v>0</v>
      </c>
      <c r="S21" s="90">
        <f t="shared" ca="1" si="9"/>
        <v>0</v>
      </c>
      <c r="T21" s="90">
        <f t="shared" ca="1" si="9"/>
        <v>0</v>
      </c>
      <c r="U21" s="91"/>
      <c r="V21" s="92"/>
      <c r="W21" s="199">
        <f t="shared" ca="1" si="5"/>
        <v>0</v>
      </c>
      <c r="X21" s="200"/>
      <c r="Y21" s="200"/>
      <c r="Z21" s="200"/>
      <c r="AA21" s="200"/>
      <c r="AB21" s="201"/>
    </row>
    <row r="22" spans="2:28" ht="13.5" thickBot="1" x14ac:dyDescent="0.25">
      <c r="B22" s="69"/>
      <c r="C22" s="100"/>
      <c r="D22" s="97"/>
      <c r="E22" s="18"/>
      <c r="F22" s="101"/>
      <c r="G22" s="82">
        <f>SUMIF(Sprint!$F$4:$F$1854,E22,Sprint!$AX$4:$AX$1854)</f>
        <v>0</v>
      </c>
      <c r="H22" s="98"/>
      <c r="I22" s="89">
        <f t="shared" ca="1" si="6"/>
        <v>0</v>
      </c>
      <c r="J22" s="90">
        <f t="shared" ca="1" si="7"/>
        <v>0</v>
      </c>
      <c r="K22" s="90">
        <f t="shared" ca="1" si="3"/>
        <v>0</v>
      </c>
      <c r="L22" s="90">
        <f t="shared" ca="1" si="3"/>
        <v>0</v>
      </c>
      <c r="M22" s="90">
        <f t="shared" ca="1" si="3"/>
        <v>0</v>
      </c>
      <c r="N22" s="91"/>
      <c r="O22" s="92"/>
      <c r="P22" s="89">
        <f t="shared" ca="1" si="8"/>
        <v>0</v>
      </c>
      <c r="Q22" s="90">
        <f t="shared" ca="1" si="8"/>
        <v>0</v>
      </c>
      <c r="R22" s="90">
        <f t="shared" ca="1" si="9"/>
        <v>0</v>
      </c>
      <c r="S22" s="90">
        <f t="shared" ca="1" si="9"/>
        <v>0</v>
      </c>
      <c r="T22" s="90">
        <f t="shared" ca="1" si="9"/>
        <v>0</v>
      </c>
      <c r="U22" s="91"/>
      <c r="V22" s="92"/>
      <c r="W22" s="199">
        <f t="shared" ca="1" si="5"/>
        <v>0</v>
      </c>
      <c r="X22" s="200"/>
      <c r="Y22" s="200"/>
      <c r="Z22" s="200"/>
      <c r="AA22" s="200"/>
      <c r="AB22" s="201"/>
    </row>
    <row r="23" spans="2:28" ht="13.5" thickBot="1" x14ac:dyDescent="0.25">
      <c r="B23" s="69"/>
      <c r="D23" s="97"/>
      <c r="E23" s="18"/>
      <c r="F23" s="101"/>
      <c r="G23" s="82">
        <f>SUMIF(Sprint!$F$4:$F$1854,E23,Sprint!$AX$4:$AX$1854)</f>
        <v>0</v>
      </c>
      <c r="H23" s="98"/>
      <c r="I23" s="89">
        <f t="shared" ca="1" si="6"/>
        <v>0</v>
      </c>
      <c r="J23" s="90">
        <f t="shared" ca="1" si="7"/>
        <v>0</v>
      </c>
      <c r="K23" s="90">
        <f t="shared" ca="1" si="3"/>
        <v>0</v>
      </c>
      <c r="L23" s="90">
        <f t="shared" ca="1" si="3"/>
        <v>0</v>
      </c>
      <c r="M23" s="90">
        <f t="shared" ca="1" si="3"/>
        <v>0</v>
      </c>
      <c r="N23" s="91"/>
      <c r="O23" s="92"/>
      <c r="P23" s="89">
        <f t="shared" ca="1" si="8"/>
        <v>0</v>
      </c>
      <c r="Q23" s="90">
        <f t="shared" ca="1" si="8"/>
        <v>0</v>
      </c>
      <c r="R23" s="90">
        <f t="shared" ca="1" si="9"/>
        <v>0</v>
      </c>
      <c r="S23" s="90">
        <f t="shared" ca="1" si="9"/>
        <v>0</v>
      </c>
      <c r="T23" s="90">
        <f t="shared" ca="1" si="9"/>
        <v>0</v>
      </c>
      <c r="U23" s="91"/>
      <c r="V23" s="92"/>
      <c r="W23" s="199">
        <f t="shared" ca="1" si="5"/>
        <v>0</v>
      </c>
      <c r="X23" s="200"/>
      <c r="Y23" s="200"/>
      <c r="Z23" s="200"/>
      <c r="AA23" s="200"/>
      <c r="AB23" s="201"/>
    </row>
    <row r="24" spans="2:28" ht="13.5" thickBot="1" x14ac:dyDescent="0.25">
      <c r="B24" s="95"/>
      <c r="D24" s="97"/>
      <c r="E24" s="18"/>
      <c r="F24" s="101"/>
      <c r="G24" s="82">
        <f>SUMIF(Sprint!$F$4:$F$1854,E24,Sprint!$AX$4:$AX$1854)</f>
        <v>0</v>
      </c>
      <c r="H24" s="98"/>
      <c r="I24" s="89">
        <f t="shared" ca="1" si="6"/>
        <v>0</v>
      </c>
      <c r="J24" s="90">
        <f t="shared" ca="1" si="7"/>
        <v>0</v>
      </c>
      <c r="K24" s="90">
        <f t="shared" ref="K24:M25" ca="1" si="10">IF(K$6&lt;$E$3,0,IF(ISBLANK($E24),0,IF(K$6&lt;$E$2,0,1)))</f>
        <v>0</v>
      </c>
      <c r="L24" s="90">
        <f t="shared" ca="1" si="10"/>
        <v>0</v>
      </c>
      <c r="M24" s="90">
        <f t="shared" ca="1" si="10"/>
        <v>0</v>
      </c>
      <c r="N24" s="91"/>
      <c r="O24" s="92"/>
      <c r="P24" s="89">
        <f t="shared" ca="1" si="8"/>
        <v>0</v>
      </c>
      <c r="Q24" s="90">
        <f t="shared" ca="1" si="8"/>
        <v>0</v>
      </c>
      <c r="R24" s="90">
        <f t="shared" ref="R24:T25" ca="1" si="11">IF(R$6&lt;$E$3,0,IF(ISBLANK($E24),0,IF(R$6&lt;$E$2,0,1)))</f>
        <v>0</v>
      </c>
      <c r="S24" s="90">
        <f t="shared" ca="1" si="11"/>
        <v>0</v>
      </c>
      <c r="T24" s="90">
        <f t="shared" ca="1" si="11"/>
        <v>0</v>
      </c>
      <c r="U24" s="91"/>
      <c r="V24" s="92"/>
      <c r="W24" s="199">
        <f t="shared" ca="1" si="5"/>
        <v>0</v>
      </c>
      <c r="X24" s="200"/>
      <c r="Y24" s="200"/>
      <c r="Z24" s="200"/>
      <c r="AA24" s="200"/>
      <c r="AB24" s="201"/>
    </row>
    <row r="25" spans="2:28" ht="13.5" thickBot="1" x14ac:dyDescent="0.25">
      <c r="B25" s="95"/>
      <c r="D25" s="97"/>
      <c r="E25" s="102"/>
      <c r="F25" s="103"/>
      <c r="G25" s="82">
        <f>SUMIF(Sprint!$F$4:$F$1854,E25,Sprint!$AX$4:$AX$1854)</f>
        <v>0</v>
      </c>
      <c r="H25" s="98"/>
      <c r="I25" s="104">
        <f t="shared" ca="1" si="6"/>
        <v>0</v>
      </c>
      <c r="J25" s="105">
        <f t="shared" ca="1" si="7"/>
        <v>0</v>
      </c>
      <c r="K25" s="105">
        <f t="shared" ca="1" si="10"/>
        <v>0</v>
      </c>
      <c r="L25" s="105">
        <f t="shared" ca="1" si="10"/>
        <v>0</v>
      </c>
      <c r="M25" s="105">
        <f t="shared" ca="1" si="10"/>
        <v>0</v>
      </c>
      <c r="N25" s="106"/>
      <c r="O25" s="107"/>
      <c r="P25" s="104">
        <f t="shared" ca="1" si="8"/>
        <v>0</v>
      </c>
      <c r="Q25" s="105">
        <f t="shared" ca="1" si="8"/>
        <v>0</v>
      </c>
      <c r="R25" s="105">
        <f t="shared" ca="1" si="11"/>
        <v>0</v>
      </c>
      <c r="S25" s="105">
        <f t="shared" ca="1" si="11"/>
        <v>0</v>
      </c>
      <c r="T25" s="105">
        <f t="shared" ca="1" si="11"/>
        <v>0</v>
      </c>
      <c r="U25" s="106"/>
      <c r="V25" s="107"/>
      <c r="W25" s="199">
        <f t="shared" ca="1" si="5"/>
        <v>0</v>
      </c>
      <c r="X25" s="200"/>
      <c r="Y25" s="200"/>
      <c r="Z25" s="200"/>
      <c r="AA25" s="200"/>
      <c r="AB25" s="201"/>
    </row>
    <row r="26" spans="2:28" x14ac:dyDescent="0.2">
      <c r="B26" s="95"/>
      <c r="D26" s="97"/>
      <c r="E26" s="108"/>
      <c r="F26" s="99"/>
      <c r="G26" s="109"/>
      <c r="I26" s="110"/>
      <c r="J26" s="111"/>
      <c r="K26" s="111"/>
      <c r="L26" s="111"/>
      <c r="M26" s="111"/>
      <c r="N26" s="112"/>
      <c r="O26" s="112"/>
      <c r="P26" s="111"/>
      <c r="Q26" s="111"/>
      <c r="R26" s="111"/>
      <c r="S26" s="111"/>
      <c r="T26" s="111"/>
      <c r="U26" s="112"/>
      <c r="V26" s="112"/>
      <c r="W26" s="113"/>
      <c r="X26" s="113"/>
      <c r="Y26" s="113"/>
      <c r="Z26" s="113"/>
      <c r="AA26" s="113"/>
      <c r="AB26" s="114"/>
    </row>
    <row r="27" spans="2:28" ht="13.5" thickBot="1" x14ac:dyDescent="0.25">
      <c r="B27" s="115"/>
      <c r="C27" s="116"/>
      <c r="D27" s="116"/>
      <c r="E27" s="117"/>
      <c r="F27" s="117"/>
      <c r="G27" s="118"/>
      <c r="I27" s="119"/>
      <c r="J27" s="117"/>
      <c r="K27" s="117"/>
      <c r="L27" s="117"/>
      <c r="M27" s="120"/>
      <c r="N27" s="120"/>
      <c r="O27" s="120"/>
      <c r="P27" s="120"/>
      <c r="Q27" s="120"/>
      <c r="R27" s="117"/>
      <c r="S27" s="117"/>
      <c r="T27" s="120"/>
      <c r="U27" s="120"/>
      <c r="V27" s="120"/>
      <c r="W27" s="117"/>
      <c r="X27" s="117"/>
      <c r="Y27" s="117"/>
      <c r="Z27" s="117"/>
      <c r="AA27" s="117"/>
      <c r="AB27" s="118"/>
    </row>
    <row r="29" spans="2:28" x14ac:dyDescent="0.2">
      <c r="I29" s="121" t="s">
        <v>51</v>
      </c>
      <c r="J29" s="43" t="s">
        <v>40</v>
      </c>
      <c r="K29" s="43" t="s">
        <v>52</v>
      </c>
      <c r="Q29" s="121" t="s">
        <v>50</v>
      </c>
      <c r="R29" s="43" t="s">
        <v>40</v>
      </c>
      <c r="S29" s="43" t="s">
        <v>54</v>
      </c>
    </row>
    <row r="30" spans="2:28" x14ac:dyDescent="0.2">
      <c r="C30" s="122"/>
      <c r="D30" s="122"/>
    </row>
    <row r="31" spans="2:28" x14ac:dyDescent="0.2">
      <c r="B31" s="97"/>
      <c r="C31" s="122"/>
      <c r="D31" s="122"/>
      <c r="E31" s="123"/>
      <c r="J31" s="6"/>
    </row>
    <row r="32" spans="2:28" x14ac:dyDescent="0.2">
      <c r="C32" s="122"/>
      <c r="D32" s="122"/>
      <c r="E32" s="123"/>
      <c r="F32" s="52"/>
    </row>
    <row r="37" spans="2:22" x14ac:dyDescent="0.2">
      <c r="I37" s="124"/>
    </row>
    <row r="38" spans="2:22" x14ac:dyDescent="0.2">
      <c r="J38" s="125"/>
      <c r="K38" s="126"/>
      <c r="L38" s="126"/>
      <c r="M38" s="126"/>
      <c r="N38" s="126"/>
      <c r="O38" s="126"/>
      <c r="Q38" s="125"/>
      <c r="R38" s="126"/>
      <c r="S38" s="126"/>
      <c r="T38" s="126"/>
      <c r="U38" s="126"/>
      <c r="V38" s="126"/>
    </row>
    <row r="40" spans="2:22" x14ac:dyDescent="0.2">
      <c r="E40" s="6"/>
    </row>
    <row r="45" spans="2:22" x14ac:dyDescent="0.2">
      <c r="B45" s="127"/>
      <c r="E45" s="124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33" priority="2" stopIfTrue="1">
      <formula>G8&gt;W8</formula>
    </cfRule>
  </conditionalFormatting>
  <conditionalFormatting sqref="I8:M25 P8:T25">
    <cfRule type="cellIs" dxfId="32" priority="5" stopIfTrue="1" operator="equal">
      <formula>"H"</formula>
    </cfRule>
    <cfRule type="cellIs" dxfId="31" priority="6" stopIfTrue="1" operator="equal">
      <formula>"V"</formula>
    </cfRule>
    <cfRule type="expression" dxfId="30" priority="7" stopIfTrue="1">
      <formula>IF(I$6&lt;$E$2,1,0)</formula>
    </cfRule>
  </conditionalFormatting>
  <conditionalFormatting sqref="X30:X34 X26:X28 J32:J34 J26:J30 I26:I34 Q29 T26:W34 N8:O25 K26:O34 U8:V25 P30:S34 P26:S28">
    <cfRule type="cellIs" dxfId="29" priority="13" stopIfTrue="1" operator="equal">
      <formula>"DIO"</formula>
    </cfRule>
    <cfRule type="cellIs" dxfId="28" priority="14" stopIfTrue="1" operator="equal">
      <formula>"H"</formula>
    </cfRule>
    <cfRule type="cellIs" dxfId="27" priority="15" stopIfTrue="1" operator="equal">
      <formula>"V"</formula>
    </cfRule>
  </conditionalFormatting>
  <conditionalFormatting sqref="P6">
    <cfRule type="expression" dxfId="26" priority="21" stopIfTrue="1">
      <formula>P$6=TODAY()</formula>
    </cfRule>
    <cfRule type="expression" dxfId="25" priority="22" stopIfTrue="1">
      <formula>IF((P$6+1-$E$3)=$F$6,1,0)</formula>
    </cfRule>
  </conditionalFormatting>
  <conditionalFormatting sqref="Q6:V6 J6:O6">
    <cfRule type="expression" dxfId="24" priority="23" stopIfTrue="1">
      <formula>J$6=TODAY()</formula>
    </cfRule>
    <cfRule type="expression" dxfId="23" priority="24" stopIfTrue="1">
      <formula>IF((J$6+1-$E$3)=$F$6,1,0)</formula>
    </cfRule>
  </conditionalFormatting>
  <conditionalFormatting sqref="I6">
    <cfRule type="expression" dxfId="22" priority="25" stopIfTrue="1">
      <formula>I$6=TODAY()</formula>
    </cfRule>
    <cfRule type="expression" dxfId="21" priority="26" stopIfTrue="1">
      <formula>IF((J$6+1-$E$3)=$F$6,1,0)</formula>
    </cfRule>
  </conditionalFormatting>
  <conditionalFormatting sqref="F26:F27 F8:F21">
    <cfRule type="expression" dxfId="20" priority="1" stopIfTrue="1">
      <formula>H8&gt;X8</formula>
    </cfRule>
  </conditionalFormatting>
  <conditionalFormatting sqref="F30:F33">
    <cfRule type="expression" dxfId="19" priority="4" stopIfTrue="1">
      <formula>H28&gt;X28</formula>
    </cfRule>
  </conditionalFormatting>
  <conditionalFormatting sqref="C10">
    <cfRule type="cellIs" dxfId="18" priority="8" stopIfTrue="1" operator="greaterThan">
      <formula>0</formula>
    </cfRule>
    <cfRule type="cellIs" dxfId="17" priority="9" stopIfTrue="1" operator="lessThanOrEqual">
      <formula>0</formula>
    </cfRule>
  </conditionalFormatting>
  <conditionalFormatting sqref="C22 D14:D15 D6:D12 C6:C9">
    <cfRule type="cellIs" dxfId="16" priority="10" stopIfTrue="1" operator="equal">
      <formula>"3A"</formula>
    </cfRule>
    <cfRule type="cellIs" dxfId="15" priority="11" stopIfTrue="1" operator="equal">
      <formula>"3B"</formula>
    </cfRule>
  </conditionalFormatting>
  <conditionalFormatting sqref="G32:G34 G6">
    <cfRule type="cellIs" dxfId="14" priority="12" stopIfTrue="1" operator="equal">
      <formula>"Done"</formula>
    </cfRule>
  </conditionalFormatting>
  <conditionalFormatting sqref="I7:K7 M7:W7">
    <cfRule type="cellIs" dxfId="13" priority="16" stopIfTrue="1" operator="equal">
      <formula>"DIO"</formula>
    </cfRule>
    <cfRule type="cellIs" dxfId="12" priority="17" stopIfTrue="1" operator="equal">
      <formula>"H"</formula>
    </cfRule>
    <cfRule type="cellIs" dxfId="11" priority="18" stopIfTrue="1" operator="equal">
      <formula>"V"</formula>
    </cfRule>
  </conditionalFormatting>
  <conditionalFormatting sqref="L7">
    <cfRule type="cellIs" dxfId="10" priority="19" stopIfTrue="1" operator="equal">
      <formula>"DIO"</formula>
    </cfRule>
    <cfRule type="cellIs" dxfId="9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D9" sqref="D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3" width="16.28515625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8" t="s">
        <v>57</v>
      </c>
    </row>
    <row r="5" spans="2:8" ht="13.5" thickBot="1" x14ac:dyDescent="0.25"/>
    <row r="6" spans="2:8" ht="14.25" thickTop="1" thickBot="1" x14ac:dyDescent="0.25">
      <c r="B6" s="128" t="s">
        <v>41</v>
      </c>
      <c r="C6" s="129" t="s">
        <v>95</v>
      </c>
      <c r="D6" s="130" t="s">
        <v>91</v>
      </c>
      <c r="E6" s="131" t="s">
        <v>94</v>
      </c>
      <c r="F6" s="132" t="s">
        <v>93</v>
      </c>
      <c r="G6" s="132" t="s">
        <v>97</v>
      </c>
      <c r="H6" s="133" t="s">
        <v>96</v>
      </c>
    </row>
    <row r="7" spans="2:8" ht="13.5" thickTop="1" x14ac:dyDescent="0.2">
      <c r="C7" s="134"/>
      <c r="D7" s="135" t="s">
        <v>49</v>
      </c>
      <c r="E7" s="136"/>
      <c r="F7" s="137"/>
      <c r="G7" s="137"/>
      <c r="H7" s="138"/>
    </row>
    <row r="8" spans="2:8" x14ac:dyDescent="0.2">
      <c r="C8" s="139" t="s">
        <v>126</v>
      </c>
      <c r="D8" s="140" t="s">
        <v>127</v>
      </c>
      <c r="E8" s="140"/>
      <c r="F8" s="141"/>
      <c r="G8" s="140"/>
      <c r="H8" s="140"/>
    </row>
    <row r="9" spans="2:8" x14ac:dyDescent="0.2">
      <c r="C9" s="139" t="s">
        <v>133</v>
      </c>
      <c r="D9" s="140" t="s">
        <v>134</v>
      </c>
      <c r="E9" s="140"/>
      <c r="F9" s="141"/>
      <c r="G9" s="140"/>
      <c r="H9" s="140"/>
    </row>
    <row r="10" spans="2:8" ht="11.25" customHeight="1" x14ac:dyDescent="0.2">
      <c r="C10" s="139"/>
      <c r="D10" s="140"/>
      <c r="E10" s="140"/>
      <c r="F10" s="141"/>
      <c r="G10" s="140"/>
      <c r="H10" s="140"/>
    </row>
    <row r="11" spans="2:8" x14ac:dyDescent="0.2">
      <c r="C11" s="139"/>
      <c r="D11" s="140"/>
      <c r="E11" s="140"/>
      <c r="F11" s="141"/>
      <c r="G11" s="140"/>
      <c r="H11" s="140"/>
    </row>
    <row r="12" spans="2:8" x14ac:dyDescent="0.2">
      <c r="C12" s="139"/>
      <c r="D12" s="140"/>
      <c r="E12" s="140"/>
      <c r="F12" s="141"/>
      <c r="G12" s="140"/>
      <c r="H12" s="140"/>
    </row>
    <row r="13" spans="2:8" x14ac:dyDescent="0.2">
      <c r="C13" s="139"/>
      <c r="D13" s="140"/>
      <c r="E13" s="140"/>
      <c r="F13" s="141"/>
      <c r="G13" s="140"/>
      <c r="H13" s="140"/>
    </row>
    <row r="14" spans="2:8" x14ac:dyDescent="0.2">
      <c r="C14" s="139"/>
      <c r="D14" s="140"/>
      <c r="E14" s="140"/>
      <c r="F14" s="141"/>
      <c r="G14" s="140"/>
      <c r="H14" s="140"/>
    </row>
    <row r="15" spans="2:8" x14ac:dyDescent="0.2">
      <c r="C15" s="139" t="s">
        <v>125</v>
      </c>
      <c r="D15" s="140" t="s">
        <v>125</v>
      </c>
      <c r="E15" s="140"/>
      <c r="F15" s="141"/>
      <c r="G15" s="140"/>
      <c r="H15" s="140"/>
    </row>
    <row r="16" spans="2:8" x14ac:dyDescent="0.2">
      <c r="C16" s="139"/>
      <c r="D16" s="140"/>
      <c r="E16" s="140"/>
      <c r="F16" s="141"/>
      <c r="G16" s="140"/>
      <c r="H16" s="140"/>
    </row>
    <row r="17" spans="3:8" x14ac:dyDescent="0.2">
      <c r="C17" s="139"/>
      <c r="D17" s="140"/>
      <c r="E17" s="140"/>
      <c r="F17" s="141"/>
      <c r="G17" s="140"/>
      <c r="H17" s="140"/>
    </row>
    <row r="18" spans="3:8" x14ac:dyDescent="0.2">
      <c r="C18" s="139"/>
      <c r="D18" s="140"/>
      <c r="E18" s="140"/>
      <c r="F18" s="141"/>
      <c r="G18" s="140"/>
      <c r="H18" s="140"/>
    </row>
    <row r="19" spans="3:8" x14ac:dyDescent="0.2">
      <c r="C19" s="139"/>
      <c r="D19" s="140"/>
      <c r="E19" s="140"/>
      <c r="F19" s="141"/>
      <c r="G19" s="140"/>
      <c r="H19" s="140"/>
    </row>
    <row r="20" spans="3:8" x14ac:dyDescent="0.2">
      <c r="C20" s="139"/>
      <c r="D20" s="140"/>
      <c r="E20" s="140"/>
      <c r="F20" s="141"/>
      <c r="G20" s="140"/>
      <c r="H20" s="140"/>
    </row>
    <row r="21" spans="3:8" x14ac:dyDescent="0.2">
      <c r="C21" s="139"/>
      <c r="D21" s="140"/>
      <c r="E21" s="140"/>
      <c r="F21" s="141"/>
      <c r="G21" s="140"/>
      <c r="H21" s="140"/>
    </row>
    <row r="22" spans="3:8" x14ac:dyDescent="0.2">
      <c r="C22" s="139"/>
      <c r="D22" s="140"/>
      <c r="E22" s="140"/>
      <c r="F22" s="141"/>
      <c r="G22" s="140"/>
      <c r="H22" s="140"/>
    </row>
    <row r="23" spans="3:8" x14ac:dyDescent="0.2">
      <c r="C23" s="139"/>
      <c r="D23" s="140"/>
      <c r="E23" s="140"/>
      <c r="F23" s="141"/>
      <c r="G23" s="140"/>
      <c r="H23" s="140"/>
    </row>
    <row r="24" spans="3:8" x14ac:dyDescent="0.2">
      <c r="C24" s="139"/>
      <c r="D24" s="140"/>
      <c r="E24" s="140"/>
      <c r="F24" s="141"/>
      <c r="G24" s="140"/>
      <c r="H24" s="140"/>
    </row>
    <row r="25" spans="3:8" ht="13.5" thickBot="1" x14ac:dyDescent="0.25">
      <c r="C25" s="142"/>
      <c r="D25" s="143"/>
      <c r="E25" s="143"/>
      <c r="F25" s="144"/>
      <c r="G25" s="145"/>
      <c r="H25" s="146"/>
    </row>
    <row r="26" spans="3:8" ht="13.5" thickTop="1" x14ac:dyDescent="0.2"/>
    <row r="41" spans="7:9" x14ac:dyDescent="0.2">
      <c r="G41" s="128"/>
      <c r="I41" s="147"/>
    </row>
    <row r="43" spans="7:9" x14ac:dyDescent="0.2">
      <c r="G43" s="128"/>
      <c r="H43" s="147"/>
      <c r="I43" s="147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5"/>
  <sheetViews>
    <sheetView workbookViewId="0">
      <selection activeCell="C24" sqref="C2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23.28515625" customWidth="1"/>
  </cols>
  <sheetData>
    <row r="1" spans="1:3" ht="15" x14ac:dyDescent="0.25">
      <c r="A1" s="171" t="s">
        <v>100</v>
      </c>
      <c r="B1" s="172"/>
    </row>
    <row r="2" spans="1:3" ht="15" x14ac:dyDescent="0.25">
      <c r="A2" s="173" t="s">
        <v>101</v>
      </c>
      <c r="B2" s="185">
        <f>COUNTIF(Sprint!$A$4:$A$92, "Feature")</f>
        <v>7</v>
      </c>
      <c r="C2" s="180">
        <f>B2/$B$9</f>
        <v>0.63636363636363635</v>
      </c>
    </row>
    <row r="3" spans="1:3" ht="15" x14ac:dyDescent="0.25">
      <c r="A3" s="173" t="s">
        <v>131</v>
      </c>
      <c r="B3" s="185">
        <f>COUNTIF(Sprint!$A$4:$A$92, "Unit Test")</f>
        <v>1</v>
      </c>
      <c r="C3" s="180">
        <f t="shared" ref="C3:C7" si="0">B3/$B$9</f>
        <v>9.0909090909090912E-2</v>
      </c>
    </row>
    <row r="4" spans="1:3" ht="15" x14ac:dyDescent="0.25">
      <c r="A4" s="173" t="s">
        <v>132</v>
      </c>
      <c r="B4" s="185">
        <f>COUNTIF(Sprint!$A$4:$A$92, "Setup Confirguration")</f>
        <v>0</v>
      </c>
      <c r="C4" s="180">
        <f t="shared" si="0"/>
        <v>0</v>
      </c>
    </row>
    <row r="5" spans="1:3" ht="15" x14ac:dyDescent="0.25">
      <c r="A5" s="173" t="s">
        <v>130</v>
      </c>
      <c r="B5" s="185">
        <f>COUNTIF(Sprint!$A$4:$A$92, "Service")</f>
        <v>2</v>
      </c>
      <c r="C5" s="180">
        <f t="shared" si="0"/>
        <v>0.18181818181818182</v>
      </c>
    </row>
    <row r="6" spans="1:3" ht="15" x14ac:dyDescent="0.25">
      <c r="A6" s="173" t="s">
        <v>129</v>
      </c>
      <c r="B6" s="185">
        <f>COUNTIF(Sprint!$A$4:$A$92, "Integration")</f>
        <v>1</v>
      </c>
      <c r="C6" s="180">
        <f t="shared" si="0"/>
        <v>9.0909090909090912E-2</v>
      </c>
    </row>
    <row r="7" spans="1:3" ht="15" x14ac:dyDescent="0.25">
      <c r="A7" s="173" t="s">
        <v>107</v>
      </c>
      <c r="B7" s="185">
        <f>COUNTIF(Sprint!$A$4:$A$92, "Security")</f>
        <v>0</v>
      </c>
      <c r="C7" s="180">
        <f t="shared" si="0"/>
        <v>0</v>
      </c>
    </row>
    <row r="8" spans="1:3" ht="15" x14ac:dyDescent="0.25">
      <c r="A8" s="173" t="s">
        <v>128</v>
      </c>
      <c r="B8" s="185">
        <f>COUNTIF(Sprint!$A$4:$A$92, "Others")</f>
        <v>0</v>
      </c>
      <c r="C8" s="180">
        <f>B8/$B$9</f>
        <v>0</v>
      </c>
    </row>
    <row r="9" spans="1:3" ht="15" x14ac:dyDescent="0.25">
      <c r="A9" s="175" t="s">
        <v>120</v>
      </c>
      <c r="B9" s="186">
        <f>SUM(B2:B8)</f>
        <v>11</v>
      </c>
      <c r="C9" s="181">
        <f>SUM(C2:C8)</f>
        <v>1</v>
      </c>
    </row>
    <row r="10" spans="1:3" ht="15" x14ac:dyDescent="0.25">
      <c r="A10" s="174"/>
      <c r="B10" s="174"/>
    </row>
    <row r="11" spans="1:3" ht="15" x14ac:dyDescent="0.25">
      <c r="A11" s="175" t="s">
        <v>102</v>
      </c>
      <c r="B11" s="174">
        <f>COUNTIF(Sprint!$B$4:$B$209, "Data Model")</f>
        <v>1</v>
      </c>
      <c r="C11" s="180">
        <f t="shared" ref="C11:C24" si="1">B11/$B$26</f>
        <v>0.2</v>
      </c>
    </row>
    <row r="12" spans="1:3" ht="15" x14ac:dyDescent="0.25">
      <c r="A12" s="173" t="s">
        <v>103</v>
      </c>
      <c r="B12" s="174">
        <f>COUNTIF(Sprint!$B$4:$B$209, "Integration Model")</f>
        <v>2</v>
      </c>
      <c r="C12" s="180">
        <f t="shared" si="1"/>
        <v>0.4</v>
      </c>
    </row>
    <row r="13" spans="1:3" ht="15" x14ac:dyDescent="0.25">
      <c r="A13" s="173" t="s">
        <v>104</v>
      </c>
      <c r="B13" s="174">
        <f>COUNTIF(Sprint!$B$4:$B$209, "System Frameworks")</f>
        <v>0</v>
      </c>
      <c r="C13" s="180">
        <f t="shared" si="1"/>
        <v>0</v>
      </c>
    </row>
    <row r="14" spans="1:3" ht="15" x14ac:dyDescent="0.25">
      <c r="A14" s="173" t="s">
        <v>105</v>
      </c>
      <c r="B14" s="174">
        <f>COUNTIF(Sprint!$B$4:$B$209, "Data Conversions")</f>
        <v>0</v>
      </c>
      <c r="C14" s="180">
        <f t="shared" si="1"/>
        <v>0</v>
      </c>
    </row>
    <row r="15" spans="1:3" ht="15" x14ac:dyDescent="0.25">
      <c r="A15" s="173" t="s">
        <v>106</v>
      </c>
      <c r="B15" s="174">
        <f>COUNTIF(Sprint!$B$4:$B$209, "Security")</f>
        <v>0</v>
      </c>
      <c r="C15" s="180">
        <f t="shared" si="1"/>
        <v>0</v>
      </c>
    </row>
    <row r="16" spans="1:3" ht="15" x14ac:dyDescent="0.25">
      <c r="A16" s="173" t="s">
        <v>107</v>
      </c>
      <c r="B16" s="174">
        <f>COUNTIF(Sprint!$B$4:$B$209, "Cash Payment Tracking")</f>
        <v>0</v>
      </c>
      <c r="C16" s="180">
        <f t="shared" si="1"/>
        <v>0</v>
      </c>
    </row>
    <row r="17" spans="1:3" ht="15" x14ac:dyDescent="0.25">
      <c r="A17" s="173" t="s">
        <v>108</v>
      </c>
      <c r="B17" s="174">
        <f>COUNTIF(Sprint!$B$4:$B$209, "Lookups")</f>
        <v>0</v>
      </c>
      <c r="C17" s="180">
        <f t="shared" si="1"/>
        <v>0</v>
      </c>
    </row>
    <row r="18" spans="1:3" ht="15" x14ac:dyDescent="0.25">
      <c r="A18" s="173" t="s">
        <v>109</v>
      </c>
      <c r="B18" s="174">
        <f>COUNTIF(Sprint!$B$4:$B$209, "Detail screens")</f>
        <v>0</v>
      </c>
      <c r="C18" s="180">
        <f t="shared" si="1"/>
        <v>0</v>
      </c>
    </row>
    <row r="19" spans="1:3" ht="15" x14ac:dyDescent="0.25">
      <c r="A19" s="173" t="s">
        <v>110</v>
      </c>
      <c r="B19" s="174">
        <f>COUNTIF(Sprint!$B$4:$B$209, "Notifications")</f>
        <v>0</v>
      </c>
      <c r="C19" s="180">
        <f t="shared" si="1"/>
        <v>0</v>
      </c>
    </row>
    <row r="20" spans="1:3" ht="15" x14ac:dyDescent="0.25">
      <c r="A20" s="173" t="s">
        <v>111</v>
      </c>
      <c r="B20" s="174">
        <f>COUNTIF(Sprint!$B$4:$B$209, "Reports")</f>
        <v>0</v>
      </c>
      <c r="C20" s="180">
        <f t="shared" si="1"/>
        <v>0</v>
      </c>
    </row>
    <row r="21" spans="1:3" ht="15" x14ac:dyDescent="0.25">
      <c r="A21" s="173" t="s">
        <v>112</v>
      </c>
      <c r="B21" s="174">
        <f>COUNTIF(Sprint!$B$4:$B$209, "Installation Package")</f>
        <v>1</v>
      </c>
      <c r="C21" s="180">
        <f t="shared" si="1"/>
        <v>0.2</v>
      </c>
    </row>
    <row r="22" spans="1:3" ht="15" x14ac:dyDescent="0.25">
      <c r="A22" s="173" t="s">
        <v>113</v>
      </c>
      <c r="B22" s="174">
        <f>COUNTIF(Sprint!$B$4:$B$209, "Deployment")</f>
        <v>1</v>
      </c>
      <c r="C22" s="180">
        <f t="shared" si="1"/>
        <v>0.2</v>
      </c>
    </row>
    <row r="23" spans="1:3" ht="15" x14ac:dyDescent="0.25">
      <c r="A23" s="173" t="s">
        <v>114</v>
      </c>
      <c r="B23" s="174">
        <f>COUNTIF(Sprint!$B$4:$B$209, "Documentation")</f>
        <v>0</v>
      </c>
      <c r="C23" s="180">
        <f t="shared" si="1"/>
        <v>0</v>
      </c>
    </row>
    <row r="24" spans="1:3" ht="15" x14ac:dyDescent="0.25">
      <c r="A24" s="173" t="s">
        <v>115</v>
      </c>
      <c r="B24" s="174">
        <f>COUNTIF(Sprint!$B$4:$B$209, "Testing")</f>
        <v>0</v>
      </c>
      <c r="C24" s="180">
        <f t="shared" si="1"/>
        <v>0</v>
      </c>
    </row>
    <row r="25" spans="1:3" ht="15" x14ac:dyDescent="0.25">
      <c r="A25" s="173" t="s">
        <v>116</v>
      </c>
      <c r="B25" s="174">
        <f>COUNTIF(Sprint!$B$4:$B$209, "Project Mgt")</f>
        <v>0</v>
      </c>
      <c r="C25" s="180">
        <f t="shared" ref="C25" si="2">B25/$B$26</f>
        <v>0</v>
      </c>
    </row>
    <row r="26" spans="1:3" ht="15" x14ac:dyDescent="0.25">
      <c r="A26" s="173" t="s">
        <v>117</v>
      </c>
      <c r="B26" s="179">
        <f>SUM(B11:B25)</f>
        <v>5</v>
      </c>
      <c r="C26" s="180">
        <f>SUM(C11:C25)</f>
        <v>1</v>
      </c>
    </row>
    <row r="27" spans="1:3" ht="15" x14ac:dyDescent="0.25">
      <c r="A27" s="175" t="s">
        <v>120</v>
      </c>
    </row>
    <row r="29" spans="1:3" ht="15" x14ac:dyDescent="0.25">
      <c r="A29" s="178" t="s">
        <v>119</v>
      </c>
      <c r="B29" s="174">
        <f ca="1">COUNTIF(Sprint!$G$4:$G$92, "Complete")</f>
        <v>0</v>
      </c>
      <c r="C29" s="180">
        <f ca="1">B29/$B$34</f>
        <v>0</v>
      </c>
    </row>
    <row r="30" spans="1:3" ht="15" x14ac:dyDescent="0.25">
      <c r="A30" s="173" t="s">
        <v>121</v>
      </c>
      <c r="B30" s="174">
        <f ca="1">COUNTIF(Sprint!$G$4:$G$92, "In Progress")</f>
        <v>1</v>
      </c>
      <c r="C30" s="180">
        <f t="shared" ref="C30:C33" ca="1" si="3">B30/$B$34</f>
        <v>1.9607843137254902E-2</v>
      </c>
    </row>
    <row r="31" spans="1:3" ht="15" x14ac:dyDescent="0.25">
      <c r="A31" s="173" t="s">
        <v>122</v>
      </c>
      <c r="B31" s="174">
        <f ca="1">COUNTIF(Sprint!$G$4:$G$92, "Pending")</f>
        <v>50</v>
      </c>
      <c r="C31" s="180">
        <f t="shared" ca="1" si="3"/>
        <v>0.98039215686274506</v>
      </c>
    </row>
    <row r="32" spans="1:3" ht="15" x14ac:dyDescent="0.25">
      <c r="A32" s="173" t="s">
        <v>123</v>
      </c>
      <c r="B32" s="174">
        <f ca="1">COUNTIF(Sprint!$G$4:$G$92, "Postponed")</f>
        <v>0</v>
      </c>
      <c r="C32" s="180">
        <f t="shared" ca="1" si="3"/>
        <v>0</v>
      </c>
    </row>
    <row r="33" spans="1:3" ht="15" x14ac:dyDescent="0.25">
      <c r="A33" s="173" t="s">
        <v>118</v>
      </c>
      <c r="B33" s="174">
        <f ca="1">COUNTIF(Sprint!$G$4:$G$92, "Cancelled")</f>
        <v>0</v>
      </c>
      <c r="C33" s="180">
        <f t="shared" ca="1" si="3"/>
        <v>0</v>
      </c>
    </row>
    <row r="34" spans="1:3" ht="15" x14ac:dyDescent="0.25">
      <c r="A34" s="178" t="s">
        <v>124</v>
      </c>
      <c r="B34" s="183">
        <f ca="1">SUM(B29:B33)</f>
        <v>51</v>
      </c>
      <c r="C34" s="184">
        <f ca="1">SUM(C29:C33)</f>
        <v>1</v>
      </c>
    </row>
    <row r="35" spans="1:3" ht="15" x14ac:dyDescent="0.25">
      <c r="A35" s="182" t="s">
        <v>120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Jesus Emmanuel Jr Dayo (DHL MY)</cp:lastModifiedBy>
  <cp:revision>1</cp:revision>
  <cp:lastPrinted>2005-08-15T09:18:22Z</cp:lastPrinted>
  <dcterms:created xsi:type="dcterms:W3CDTF">2005-01-26T21:50:47Z</dcterms:created>
  <dcterms:modified xsi:type="dcterms:W3CDTF">2015-04-17T06:55:26Z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